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tables/table1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Monthly KPI Review" sheetId="2" state="visible" r:id="rId2"/>
    <sheet name="Service Categories" sheetId="3" state="visible" r:id="rId3"/>
    <sheet name="Geography" sheetId="4" state="visible" r:id="rId4"/>
    <sheet name="Aging Analysis" sheetId="5" state="visible" r:id="rId5"/>
    <sheet name="Data Quality"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8">
    <font>
      <name val="Calibri"/>
      <family val="2"/>
      <color theme="1"/>
      <sz val="11"/>
      <scheme val="minor"/>
    </font>
    <font>
      <b val="1"/>
      <color rgb="FF0B0B0B"/>
      <sz val="16"/>
    </font>
    <font>
      <color rgb="FF52514E"/>
      <sz val="10"/>
    </font>
    <font>
      <i val="1"/>
      <color rgb="FF52514E"/>
      <sz val="9"/>
    </font>
    <font>
      <b val="1"/>
      <color rgb="FF8A3B12"/>
      <sz val="10"/>
    </font>
    <font>
      <b val="1"/>
      <color rgb="FF0B0B0B"/>
      <sz val="11"/>
    </font>
    <font>
      <b val="1"/>
      <color rgb="FFFFFFFF"/>
      <sz val="10"/>
    </font>
    <font>
      <b val="1"/>
      <color rgb="FF0B0B0B"/>
      <sz val="15"/>
    </font>
  </fonts>
  <fills count="4">
    <fill>
      <patternFill/>
    </fill>
    <fill>
      <patternFill patternType="gray125"/>
    </fill>
    <fill>
      <patternFill patternType="solid">
        <fgColor rgb="FFFDF0E8"/>
      </patternFill>
    </fill>
    <fill>
      <patternFill patternType="solid">
        <fgColor rgb="FF1F3B5C"/>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5" fillId="0" borderId="0" pivotButton="0" quotePrefix="0" xfId="0"/>
    <xf numFmtId="0" fontId="6" fillId="3"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0" fontId="6" fillId="3" borderId="1" pivotButton="0" quotePrefix="0" xfId="0"/>
    <xf numFmtId="165" fontId="0" fillId="0" borderId="1" pivotButton="0" quotePrefix="0" xfId="0"/>
    <xf numFmtId="0" fontId="7" fillId="0" borderId="0" pivotButton="0" quotePrefix="0" xfId="0"/>
    <xf numFmtId="0" fontId="3" fillId="0" borderId="0" pivotButton="0" quotePrefix="0" xfId="0"/>
    <xf numFmtId="2" fontId="0" fillId="0" borderId="1" pivotButton="0" quotePrefix="0" xfId="0"/>
    <xf numFmtId="166" fontId="0" fillId="0" borderId="1" pivotButton="0" quotePrefix="0" xfId="0"/>
    <xf numFmtId="0" fontId="0" fillId="0" borderId="1" applyAlignment="1" pivotButton="0" quotePrefix="0" xfId="0">
      <alignment vertical="top" wrapText="1"/>
    </xf>
    <xf numFmtId="3" fontId="0" fillId="0" borderId="0" pivotButton="0" quotePrefix="0" xfId="0"/>
  </cellXfs>
  <cellStyles count="1">
    <cellStyle name="Normal" xfId="0" builtinId="0" hidden="0"/>
  </cellStyles>
  <dxfs count="5">
    <dxf>
      <fill>
        <patternFill patternType="solid">
          <fgColor rgb="FFDDF3DD"/>
        </patternFill>
      </fill>
    </dxf>
    <dxf>
      <fill>
        <patternFill patternType="solid">
          <fgColor rgb="FFFBE0E0"/>
        </patternFill>
      </fill>
    </dxf>
    <dxf>
      <fill>
        <patternFill patternType="solid">
          <fgColor rgb="FFFDE7DD"/>
        </patternFill>
      </fill>
    </dxf>
    <dxf>
      <fill>
        <patternFill patternType="solid">
          <fgColor rgb="FFFDF2D6"/>
        </patternFill>
      </fill>
    </dxf>
    <dxf>
      <fill>
        <patternFill patternType="solid">
          <fgColor rgb="FFE8EE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Submissions by month</a:t>
            </a:r>
          </a:p>
        </rich>
      </tx>
    </title>
    <plotArea>
      <lineChart>
        <grouping val="standard"/>
        <ser>
          <idx val="0"/>
          <order val="0"/>
          <tx>
            <strRef>
              <f>'Monthly KPI Review'!B5</f>
            </strRef>
          </tx>
          <spPr>
            <a:ln>
              <a:prstDash val="solid"/>
            </a:ln>
          </spPr>
          <marker>
            <symbol val="none"/>
            <spPr>
              <a:ln>
                <a:prstDash val="solid"/>
              </a:ln>
            </spPr>
          </marker>
          <cat>
            <numRef>
              <f>'Monthly KPI Review'!$A$6:$A$37</f>
            </numRef>
          </cat>
          <val>
            <numRef>
              <f>'Monthly KPI Review'!$B$6:$B$37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 records</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Active records by service category (top of table)</a:t>
            </a:r>
          </a:p>
        </rich>
      </tx>
    </title>
    <plotArea>
      <barChart>
        <barDir val="bar"/>
        <grouping val="clustered"/>
        <ser>
          <idx val="0"/>
          <order val="0"/>
          <tx>
            <strRef>
              <f>'Service Categories'!C5</f>
            </strRef>
          </tx>
          <spPr>
            <a:ln>
              <a:prstDash val="solid"/>
            </a:ln>
          </spPr>
          <cat>
            <numRef>
              <f>'Service Categories'!$A$6:$A$17</f>
            </numRef>
          </cat>
          <val>
            <numRef>
              <f>'Service Categories'!$C$6:$C$17</f>
            </numRef>
          </val>
        </ser>
        <gapWidth val="150"/>
        <axId val="10"/>
        <axId val="100"/>
      </barChart>
      <catAx>
        <axId val="10"/>
        <scaling>
          <orientation val="minMax"/>
        </scaling>
        <axPos val="l"/>
        <numFmt formatCode="#,##0" sourceLinked="0"/>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Active records by age bucket</a:t>
            </a:r>
          </a:p>
        </rich>
      </tx>
    </title>
    <plotArea>
      <barChart>
        <barDir val="col"/>
        <grouping val="clustered"/>
        <ser>
          <idx val="0"/>
          <order val="0"/>
          <tx>
            <strRef>
              <f>'Aging Analysis'!B5</f>
            </strRef>
          </tx>
          <spPr>
            <a:ln>
              <a:prstDash val="solid"/>
            </a:ln>
          </spPr>
          <cat>
            <numRef>
              <f>'Aging Analysis'!$A$6:$A$13</f>
            </numRef>
          </cat>
          <val>
            <numRef>
              <f>'Aging Analysis'!$B$6:$B$13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4</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17</col>
      <colOff>0</colOff>
      <row>4</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blExecKPIs" displayName="tblExecKPIs" ref="A10:D36" headerRowCount="1">
  <autoFilter ref="A10:D36"/>
  <tableColumns count="4">
    <tableColumn id="1" name="Metric"/>
    <tableColumn id="2" name="Value"/>
    <tableColumn id="3" name="Unit"/>
    <tableColumn id="4" name="Group"/>
  </tableColumns>
  <tableStyleInfo name="TableStyleLight9" showRowStripes="1" showColumnStripes="0"/>
</table>
</file>

<file path=xl/tables/table2.xml><?xml version="1.0" encoding="utf-8"?>
<table xmlns="http://schemas.openxmlformats.org/spreadsheetml/2006/main" id="2" name="tblMonthly" displayName="tblMonthly" ref="A5:G37" headerRowCount="1">
  <autoFilter ref="A5:G37"/>
  <tableColumns count="7">
    <tableColumn id="1" name="Month"/>
    <tableColumn id="2" name="Submissions"/>
    <tableColumn id="3" name="Distinct issues"/>
    <tableColumn id="4" name="Duplicate children"/>
    <tableColumn id="5" name="Still active"/>
    <tableColumn id="6" name="% still active"/>
    <tableColumn id="7" name="Coverage"/>
  </tableColumns>
  <tableStyleInfo name="TableStyleLight9" showRowStripes="1" showColumnStripes="0"/>
</table>
</file>

<file path=xl/tables/table3.xml><?xml version="1.0" encoding="utf-8"?>
<table xmlns="http://schemas.openxmlformats.org/spreadsheetml/2006/main" id="3" name="tblClosures" displayName="tblClosures" ref="A59:G79" headerRowCount="1">
  <autoFilter ref="A59:G79"/>
  <tableColumns count="7">
    <tableColumn id="1" name="Month"/>
    <tableColumn id="2" name="Closures recorded"/>
    <tableColumn id="3" name="Closed"/>
    <tableColumn id="4" name="Referred"/>
    <tableColumn id="5" name="Median lifecycle (days)"/>
    <tableColumn id="6" name="P90 lifecycle (days)"/>
    <tableColumn id="7" name="Coverage"/>
  </tableColumns>
  <tableStyleInfo name="TableStyleLight9" showRowStripes="1" showColumnStripes="0"/>
</table>
</file>

<file path=xl/tables/table4.xml><?xml version="1.0" encoding="utf-8"?>
<table xmlns="http://schemas.openxmlformats.org/spreadsheetml/2006/main" id="4" name="tblService" displayName="tblService" ref="A5:P45" headerRowCount="1">
  <autoFilter ref="A5:P45"/>
  <tableColumns count="16">
    <tableColumn id="1" name="Service category"/>
    <tableColumn id="2" name="Modal case_record_type"/>
    <tableColumn id="3" name="Active records"/>
    <tableColumn id="4" name="Distinct issues"/>
    <tableColumn id="5" name="Duplicate rate %"/>
    <tableColumn id="6" name="% of backlog"/>
    <tableColumn id="7" name="Median age (days)"/>
    <tableColumn id="8" name="P90 age (days)"/>
    <tableColumn id="9" name="Mean age (days)"/>
    <tableColumn id="10" name="Aged 60+"/>
    <tableColumn id="11" name="Aged 90+"/>
    <tableColumn id="12" name="Aged 365+"/>
    <tableColumn id="13" name="% of own queue aged 90+"/>
    <tableColumn id="14" name="% of city aged 90+"/>
    <tableColumn id="15" name="Rank by volume"/>
    <tableColumn id="16" name="Rank by median age"/>
  </tableColumns>
  <tableStyleInfo name="TableStyleLight9" showRowStripes="1" showColumnStripes="0"/>
</table>
</file>

<file path=xl/tables/table5.xml><?xml version="1.0" encoding="utf-8"?>
<table xmlns="http://schemas.openxmlformats.org/spreadsheetml/2006/main" id="5" name="tblDistrict" displayName="tblDistrict" ref="A5:K15" headerRowCount="1">
  <autoFilter ref="A5:K15"/>
  <tableColumns count="11">
    <tableColumn id="1" name="Council district"/>
    <tableColumn id="2" name="Active records"/>
    <tableColumn id="3" name="% of backlog"/>
    <tableColumn id="4" name="Submissions, last 12 months"/>
    <tableColumn id="5" name="Backlog per recent submission"/>
    <tableColumn id="6" name="Median age (days)"/>
    <tableColumn id="7" name="P90 age (days)"/>
    <tableColumn id="8" name="Aged 90+"/>
    <tableColumn id="9" name="% of own queue aged 90+"/>
    <tableColumn id="10" name="% of city aged 90+"/>
    <tableColumn id="11" name="Duplicate rate %"/>
  </tableColumns>
  <tableStyleInfo name="TableStyleLight9" showRowStripes="1" showColumnStripes="0"/>
</table>
</file>

<file path=xl/tables/table6.xml><?xml version="1.0" encoding="utf-8"?>
<table xmlns="http://schemas.openxmlformats.org/spreadsheetml/2006/main" id="6" name="tblAgingIndex" displayName="tblAgingIndex" ref="A18:H28" headerRowCount="1">
  <autoFilter ref="A18:H28"/>
  <tableColumns count="8">
    <tableColumn id="1" name="Council district"/>
    <tableColumn id="2" name="Active records"/>
    <tableColumn id="3" name="Aged 90+"/>
    <tableColumn id="4" name="Median age (days)"/>
    <tableColumn id="5" name="% of backlog"/>
    <tableColumn id="6" name="% of aged 90+"/>
    <tableColumn id="7" name="Aged concentration index"/>
    <tableColumn id="8" name="Rank"/>
  </tableColumns>
  <tableStyleInfo name="TableStyleLight9" showRowStripes="1" showColumnStripes="0"/>
</table>
</file>

<file path=xl/tables/table7.xml><?xml version="1.0" encoding="utf-8"?>
<table xmlns="http://schemas.openxmlformats.org/spreadsheetml/2006/main" id="7" name="tblCommunity" displayName="tblCommunity" ref="A31:H80" headerRowCount="1">
  <autoFilter ref="A31:H80"/>
  <tableColumns count="8">
    <tableColumn id="1" name="Community"/>
    <tableColumn id="2" name="Council district (example)"/>
    <tableColumn id="3" name="Active records"/>
    <tableColumn id="4" name="% of backlog"/>
    <tableColumn id="5" name="Median age (days)"/>
    <tableColumn id="6" name="P90 age (days)"/>
    <tableColumn id="7" name="Aged 90+"/>
    <tableColumn id="8" name="% of own queue aged 90+"/>
  </tableColumns>
  <tableStyleInfo name="TableStyleLight9" showRowStripes="1" showColumnStripes="0"/>
</table>
</file>

<file path=xl/tables/table8.xml><?xml version="1.0" encoding="utf-8"?>
<table xmlns="http://schemas.openxmlformats.org/spreadsheetml/2006/main" id="8" name="tblBuckets" displayName="tblBuckets" ref="A5:G13" headerRowCount="1">
  <autoFilter ref="A5:G13"/>
  <tableColumns count="7">
    <tableColumn id="1" name="Age bucket (days)"/>
    <tableColumn id="2" name="Active records"/>
    <tableColumn id="3" name="Distinct issues"/>
    <tableColumn id="4" name="Median age (days)"/>
    <tableColumn id="5" name="% of backlog"/>
    <tableColumn id="6" name="Cumulative records"/>
    <tableColumn id="7" name="Cumulative %"/>
  </tableColumns>
  <tableStyleInfo name="TableStyleLight9" showRowStripes="1" showColumnStripes="0"/>
</table>
</file>

<file path=xl/tables/table9.xml><?xml version="1.0" encoding="utf-8"?>
<table xmlns="http://schemas.openxmlformats.org/spreadsheetml/2006/main" id="9" name="tblPriority" displayName="tblPriority" ref="A33:J57" headerRowCount="1">
  <autoFilter ref="A33:J57"/>
  <tableColumns count="10">
    <tableColumn id="1" name="Rank"/>
    <tableColumn id="2" name="Service category"/>
    <tableColumn id="3" name="Active records"/>
    <tableColumn id="4" name="Median age (days)"/>
    <tableColumn id="5" name="P90 age (days)"/>
    <tableColumn id="6" name="Aged 90+"/>
    <tableColumn id="7" name="% of own queue aged 90+"/>
    <tableColumn id="8" name="% of citywide 90+ inventory"/>
    <tableColumn id="9" name="Priority score"/>
    <tableColumn id="10" name="Why flagged"/>
  </tableColumns>
  <tableStyleInfo name="TableStyleLight9" showRowStripes="1" showColumnStripes="0"/>
</table>
</file>

<file path=xl/tables/table10.xml><?xml version="1.0" encoding="utf-8"?>
<table xmlns="http://schemas.openxmlformats.org/spreadsheetml/2006/main" id="10" name="tblWeightSensitivity" displayName="tblWeightSensitivity" ref="A60:E85" headerRowCount="1">
  <autoFilter ref="A60:E85"/>
  <tableColumns count="5">
    <tableColumn id="1" name="Weighting scheme"/>
    <tableColumn id="2" name="Rank"/>
    <tableColumn id="3" name="Service category"/>
    <tableColumn id="4" name="Score"/>
    <tableColumn id="5" name="In baseline top 3"/>
  </tableColumns>
  <tableStyleInfo name="TableStyleLight9" showRowStripes="1" showColumnStripes="0"/>
</table>
</file>

<file path=xl/tables/table11.xml><?xml version="1.0" encoding="utf-8"?>
<table xmlns="http://schemas.openxmlformats.org/spreadsheetml/2006/main" id="11" name="tblHotspots" displayName="tblHotspots" ref="A88:H128" headerRowCount="1">
  <autoFilter ref="A88:H128"/>
  <tableColumns count="8">
    <tableColumn id="1" name="Rank"/>
    <tableColumn id="2" name="Service category"/>
    <tableColumn id="3" name="Council district"/>
    <tableColumn id="4" name="Active records"/>
    <tableColumn id="5" name="Aged 90+"/>
    <tableColumn id="6" name="% aged 90+"/>
    <tableColumn id="7" name="Median age (days)"/>
    <tableColumn id="8" name="Aged concentration index"/>
  </tableColumns>
  <tableStyleInfo name="TableStyleLight9" showRowStripes="1" showColumnStripes="0"/>
</table>
</file>

<file path=xl/tables/table12.xml><?xml version="1.0" encoding="utf-8"?>
<table xmlns="http://schemas.openxmlformats.org/spreadsheetml/2006/main" id="12" name="tblAudit" displayName="tblAudit" ref="A5:E18" headerRowCount="1">
  <autoFilter ref="A5:E18"/>
  <tableColumns count="5">
    <tableColumn id="1" name="Check"/>
    <tableColumn id="2" name="Grade"/>
    <tableColumn id="3" name="Question"/>
    <tableColumn id="4" name="Finding"/>
    <tableColumn id="5" name="Treatmen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2.xml" Id="rId2" /><Relationship Type="http://schemas.openxmlformats.org/officeDocument/2006/relationships/table" Target="/xl/tables/table3.xml" Id="rId3"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4.xml" Id="rId2" /></Relationships>
</file>

<file path=xl/worksheets/_rels/sheet4.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 Type="http://schemas.openxmlformats.org/officeDocument/2006/relationships/table" Target="/xl/tables/table7.xml" Id="rId3" /></Relationships>
</file>

<file path=xl/worksheets/_rels/sheet5.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8.xml" Id="rId2" /><Relationship Type="http://schemas.openxmlformats.org/officeDocument/2006/relationships/table" Target="/xl/tables/table9.xml" Id="rId3" /><Relationship Type="http://schemas.openxmlformats.org/officeDocument/2006/relationships/table" Target="/xl/tables/table10.xml" Id="rId4" /><Relationship Type="http://schemas.openxmlformats.org/officeDocument/2006/relationships/table" Target="/xl/tables/table11.xml" Id="rId5" /></Relationships>
</file>

<file path=xl/worksheets/_rels/sheet6.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G47"/>
  <sheetViews>
    <sheetView showGridLines="0" workbookViewId="0">
      <pane ySplit="1" topLeftCell="A2" activePane="bottomLeft" state="frozen"/>
      <selection pane="bottomLeft" activeCell="A1" sqref="A1"/>
    </sheetView>
  </sheetViews>
  <sheetFormatPr baseColWidth="8" defaultRowHeight="15"/>
  <cols>
    <col width="52" customWidth="1" min="1" max="1"/>
    <col width="18" customWidth="1" min="2" max="2"/>
    <col width="22" customWidth="1" min="3" max="3"/>
    <col width="14" customWidth="1" min="4" max="4"/>
  </cols>
  <sheetData>
    <row r="1">
      <c r="A1" s="1" t="inlineStr">
        <is>
          <t>San Diego Service Operations Intelligence</t>
        </is>
      </c>
    </row>
    <row r="2">
      <c r="A2" s="2" t="inlineStr">
        <is>
          <t>Active backlog review — data snapshot 2026-08-09</t>
        </is>
      </c>
    </row>
    <row r="3">
      <c r="A3" s="2" t="inlineStr">
        <is>
          <t>Generated 2026-08-10 00:18 UTC from City of San Diego Open Data Portal extracts</t>
        </is>
      </c>
    </row>
    <row r="4">
      <c r="A4" s="3" t="inlineStr">
        <is>
          <t>Independent portfolio case study using public City of San Diego data. Not commissioned by, affiliated with, or endorsed by the City of San Diego. The stakeholder is hypothetical.</t>
        </is>
      </c>
    </row>
    <row r="5">
      <c r="A5" s="4" t="inlineStr">
        <is>
          <t>Data boundary: Get It Done records represent submitted service requests and case statuses, not verified maintenance completion. A record reaching Closed or Referred means it reached a terminal Get It Done status, not that a repair occurred. This source carries no work-order, staffing or capacity data, so nothing in this workbook measures crew performance and no relationship shown is causal.</t>
        </is>
      </c>
    </row>
    <row r="6"/>
    <row r="7"/>
    <row r="9">
      <c r="A9" s="5" t="inlineStr">
        <is>
          <t>Headline metrics</t>
        </is>
      </c>
    </row>
    <row r="10" ht="30" customHeight="1">
      <c r="A10" s="6" t="inlineStr">
        <is>
          <t>Metric</t>
        </is>
      </c>
      <c r="B10" s="6" t="inlineStr">
        <is>
          <t>Value</t>
        </is>
      </c>
      <c r="C10" s="6" t="inlineStr">
        <is>
          <t>Unit</t>
        </is>
      </c>
      <c r="D10" s="6" t="inlineStr">
        <is>
          <t>Group</t>
        </is>
      </c>
    </row>
    <row r="11">
      <c r="A11" s="7" t="inlineStr">
        <is>
          <t>Case records in scope (all statuses)</t>
        </is>
      </c>
      <c r="B11" s="8" t="n">
        <v>714925</v>
      </c>
      <c r="C11" s="7" t="inlineStr">
        <is>
          <t>records</t>
        </is>
      </c>
      <c r="D11" s="7" t="inlineStr">
        <is>
          <t>scope</t>
        </is>
      </c>
    </row>
    <row r="12">
      <c r="A12" s="7" t="inlineStr">
        <is>
          <t>Distinct reported issues in scope (duplicates collapsed)</t>
        </is>
      </c>
      <c r="B12" s="8" t="n">
        <v>622135</v>
      </c>
      <c r="C12" s="7" t="inlineStr">
        <is>
          <t>issues</t>
        </is>
      </c>
      <c r="D12" s="7" t="inlineStr">
        <is>
          <t>scope</t>
        </is>
      </c>
    </row>
    <row r="13">
      <c r="A13" s="7" t="inlineStr">
        <is>
          <t>Active request backlog (case records)</t>
        </is>
      </c>
      <c r="B13" s="8" t="n">
        <v>81359</v>
      </c>
      <c r="C13" s="7" t="inlineStr">
        <is>
          <t>records</t>
        </is>
      </c>
      <c r="D13" s="7" t="inlineStr">
        <is>
          <t>backlog</t>
        </is>
      </c>
    </row>
    <row r="14">
      <c r="A14" s="7" t="inlineStr">
        <is>
          <t>Active backlog, duplicates collapsed</t>
        </is>
      </c>
      <c r="B14" s="8" t="n">
        <v>60288</v>
      </c>
      <c r="C14" s="7" t="inlineStr">
        <is>
          <t>issues</t>
        </is>
      </c>
      <c r="D14" s="7" t="inlineStr">
        <is>
          <t>backlog</t>
        </is>
      </c>
    </row>
    <row r="15">
      <c r="A15" s="7" t="inlineStr">
        <is>
          <t>Median active request age</t>
        </is>
      </c>
      <c r="B15" s="8" t="n">
        <v>381</v>
      </c>
      <c r="C15" s="7" t="inlineStr">
        <is>
          <t>days</t>
        </is>
      </c>
      <c r="D15" s="7" t="inlineStr">
        <is>
          <t>backlog</t>
        </is>
      </c>
    </row>
    <row r="16">
      <c r="A16" s="7" t="inlineStr">
        <is>
          <t>P90 active request age</t>
        </is>
      </c>
      <c r="B16" s="8" t="n">
        <v>1680.2</v>
      </c>
      <c r="C16" s="7" t="inlineStr">
        <is>
          <t>days</t>
        </is>
      </c>
      <c r="D16" s="7" t="inlineStr">
        <is>
          <t>backlog</t>
        </is>
      </c>
    </row>
    <row r="17">
      <c r="A17" s="7" t="inlineStr">
        <is>
          <t>Mean active request age (reported for contrast only)</t>
        </is>
      </c>
      <c r="B17" s="8" t="n">
        <v>649.8546</v>
      </c>
      <c r="C17" s="7" t="inlineStr">
        <is>
          <t>days</t>
        </is>
      </c>
      <c r="D17" s="7" t="inlineStr">
        <is>
          <t>backlog</t>
        </is>
      </c>
    </row>
    <row r="18">
      <c r="A18" s="7" t="inlineStr">
        <is>
          <t>Active requests aged 60+ days</t>
        </is>
      </c>
      <c r="B18" s="8" t="n">
        <v>65648</v>
      </c>
      <c r="C18" s="7" t="inlineStr">
        <is>
          <t>records</t>
        </is>
      </c>
      <c r="D18" s="7" t="inlineStr">
        <is>
          <t>backlog</t>
        </is>
      </c>
    </row>
    <row r="19">
      <c r="A19" s="7" t="inlineStr">
        <is>
          <t>Share of active backlog aged 60+ days</t>
        </is>
      </c>
      <c r="B19" s="9" t="n">
        <v>80.7</v>
      </c>
      <c r="C19" s="7" t="inlineStr">
        <is>
          <t>percent</t>
        </is>
      </c>
      <c r="D19" s="7" t="inlineStr">
        <is>
          <t>backlog</t>
        </is>
      </c>
    </row>
    <row r="20">
      <c r="A20" s="7" t="inlineStr">
        <is>
          <t>Active requests aged 90+ days</t>
        </is>
      </c>
      <c r="B20" s="8" t="n">
        <v>61922</v>
      </c>
      <c r="C20" s="7" t="inlineStr">
        <is>
          <t>records</t>
        </is>
      </c>
      <c r="D20" s="7" t="inlineStr">
        <is>
          <t>backlog</t>
        </is>
      </c>
    </row>
    <row r="21">
      <c r="A21" s="7" t="inlineStr">
        <is>
          <t>Share of active backlog aged 90+ days</t>
        </is>
      </c>
      <c r="B21" s="9" t="n">
        <v>76.09999999999999</v>
      </c>
      <c r="C21" s="7" t="inlineStr">
        <is>
          <t>percent</t>
        </is>
      </c>
      <c r="D21" s="7" t="inlineStr">
        <is>
          <t>backlog</t>
        </is>
      </c>
    </row>
    <row r="22">
      <c r="A22" s="7" t="inlineStr">
        <is>
          <t>Active requests aged 365+ days</t>
        </is>
      </c>
      <c r="B22" s="8" t="n">
        <v>41494</v>
      </c>
      <c r="C22" s="7" t="inlineStr">
        <is>
          <t>records</t>
        </is>
      </c>
      <c r="D22" s="7" t="inlineStr">
        <is>
          <t>backlog</t>
        </is>
      </c>
    </row>
    <row r="23">
      <c r="A23" s="7" t="inlineStr">
        <is>
          <t>Share of active backlog aged 365+ days</t>
        </is>
      </c>
      <c r="B23" s="9" t="n">
        <v>51</v>
      </c>
      <c r="C23" s="7" t="inlineStr">
        <is>
          <t>percent</t>
        </is>
      </c>
      <c r="D23" s="7" t="inlineStr">
        <is>
          <t>backlog</t>
        </is>
      </c>
    </row>
    <row r="24">
      <c r="A24" s="7" t="inlineStr">
        <is>
          <t>Case records flagged as duplicate children (all statuses)</t>
        </is>
      </c>
      <c r="B24" s="8" t="n">
        <v>94687</v>
      </c>
      <c r="C24" s="7" t="inlineStr">
        <is>
          <t>records</t>
        </is>
      </c>
      <c r="D24" s="7" t="inlineStr">
        <is>
          <t>duplicates</t>
        </is>
      </c>
    </row>
    <row r="25">
      <c r="A25" s="7" t="inlineStr">
        <is>
          <t>Duplicate-child rate, all case records</t>
        </is>
      </c>
      <c r="B25" s="9" t="n">
        <v>13.2</v>
      </c>
      <c r="C25" s="7" t="inlineStr">
        <is>
          <t>percent</t>
        </is>
      </c>
      <c r="D25" s="7" t="inlineStr">
        <is>
          <t>duplicates</t>
        </is>
      </c>
    </row>
    <row r="26">
      <c r="A26" s="7" t="inlineStr">
        <is>
          <t>Active case records flagged as duplicate children</t>
        </is>
      </c>
      <c r="B26" s="8" t="n">
        <v>21971</v>
      </c>
      <c r="C26" s="7" t="inlineStr">
        <is>
          <t>records</t>
        </is>
      </c>
      <c r="D26" s="7" t="inlineStr">
        <is>
          <t>duplicates</t>
        </is>
      </c>
    </row>
    <row r="27">
      <c r="A27" s="7" t="inlineStr">
        <is>
          <t>Duplicate-child rate within the active backlog</t>
        </is>
      </c>
      <c r="B27" s="9" t="n">
        <v>27</v>
      </c>
      <c r="C27" s="7" t="inlineStr">
        <is>
          <t>percent</t>
        </is>
      </c>
      <c r="D27" s="7" t="inlineStr">
        <is>
          <t>duplicates</t>
        </is>
      </c>
    </row>
    <row r="28">
      <c r="A28" s="7" t="inlineStr">
        <is>
          <t>Case records with a Referred status</t>
        </is>
      </c>
      <c r="B28" s="8" t="n">
        <v>43306</v>
      </c>
      <c r="C28" s="7" t="inlineStr">
        <is>
          <t>records</t>
        </is>
      </c>
      <c r="D28" s="7" t="inlineStr">
        <is>
          <t>referrals</t>
        </is>
      </c>
    </row>
    <row r="29">
      <c r="A29" s="7" t="inlineStr">
        <is>
          <t>Referred share of terminal-status records</t>
        </is>
      </c>
      <c r="B29" s="9" t="n">
        <v>6.8</v>
      </c>
      <c r="C29" s="7" t="inlineStr">
        <is>
          <t>percent</t>
        </is>
      </c>
      <c r="D29" s="7" t="inlineStr">
        <is>
          <t>referrals</t>
        </is>
      </c>
    </row>
    <row r="30">
      <c r="A30" s="7" t="inlineStr">
        <is>
          <t>Referred cases routed outside the City</t>
        </is>
      </c>
      <c r="B30" s="9" t="n">
        <v>61.8</v>
      </c>
      <c r="C30" s="7" t="inlineStr">
        <is>
          <t>percent</t>
        </is>
      </c>
      <c r="D30" s="7" t="inlineStr">
        <is>
          <t>referrals</t>
        </is>
      </c>
    </row>
    <row r="31">
      <c r="A31" s="7" t="inlineStr">
        <is>
          <t>Case records with a recorded closure this year</t>
        </is>
      </c>
      <c r="B31" s="8" t="n">
        <v>254906</v>
      </c>
      <c r="C31" s="7" t="inlineStr">
        <is>
          <t>records</t>
        </is>
      </c>
      <c r="D31" s="7" t="inlineStr">
        <is>
          <t>lifecycle context</t>
        </is>
      </c>
    </row>
    <row r="32">
      <c r="A32" s="7" t="inlineStr">
        <is>
          <t>Median recorded lifecycle of cases closed this year</t>
        </is>
      </c>
      <c r="B32" s="8" t="n">
        <v>3</v>
      </c>
      <c r="C32" s="7" t="inlineStr">
        <is>
          <t>days</t>
        </is>
      </c>
      <c r="D32" s="7" t="inlineStr">
        <is>
          <t>lifecycle context</t>
        </is>
      </c>
    </row>
    <row r="33">
      <c r="A33" s="7" t="inlineStr">
        <is>
          <t>P90 recorded lifecycle of cases closed this year</t>
        </is>
      </c>
      <c r="B33" s="8" t="n">
        <v>80</v>
      </c>
      <c r="C33" s="7" t="inlineStr">
        <is>
          <t>days</t>
        </is>
      </c>
      <c r="D33" s="7" t="inlineStr">
        <is>
          <t>lifecycle context</t>
        </is>
      </c>
    </row>
    <row r="34">
      <c r="A34" s="7" t="inlineStr">
        <is>
          <t>Submissions, January to last complete month, current year</t>
        </is>
      </c>
      <c r="B34" s="8" t="n">
        <v>246572</v>
      </c>
      <c r="C34" s="7" t="inlineStr">
        <is>
          <t>records</t>
        </is>
      </c>
      <c r="D34" s="7" t="inlineStr">
        <is>
          <t>demand</t>
        </is>
      </c>
    </row>
    <row r="35">
      <c r="A35" s="7" t="inlineStr">
        <is>
          <t>Submissions, same months, prior year</t>
        </is>
      </c>
      <c r="B35" s="8" t="n">
        <v>225628</v>
      </c>
      <c r="C35" s="7" t="inlineStr">
        <is>
          <t>records</t>
        </is>
      </c>
      <c r="D35" s="7" t="inlineStr">
        <is>
          <t>demand</t>
        </is>
      </c>
    </row>
    <row r="36">
      <c r="A36" s="7" t="inlineStr">
        <is>
          <t>Year-over-year change in submissions, like-for-like months</t>
        </is>
      </c>
      <c r="B36" s="9" t="n">
        <v>9.300000000000001</v>
      </c>
      <c r="C36" s="7" t="inlineStr">
        <is>
          <t>percent</t>
        </is>
      </c>
      <c r="D36" s="7" t="inlineStr">
        <is>
          <t>demand</t>
        </is>
      </c>
    </row>
    <row r="39">
      <c r="A39" s="5" t="inlineStr">
        <is>
          <t>Live consistency checks (Excel formulas, recalculated on open)</t>
        </is>
      </c>
    </row>
    <row r="40">
      <c r="A40" s="10" t="inlineStr">
        <is>
          <t>Check</t>
        </is>
      </c>
      <c r="B40" s="10" t="inlineStr">
        <is>
          <t>Formula result</t>
        </is>
      </c>
      <c r="C40" s="10" t="inlineStr">
        <is>
          <t>Expected (from SQL)</t>
        </is>
      </c>
      <c r="D40" s="10" t="inlineStr">
        <is>
          <t>Status</t>
        </is>
      </c>
    </row>
    <row r="41">
      <c r="A41" s="7" t="inlineStr">
        <is>
          <t>Aged 90+ as % of active backlog</t>
        </is>
      </c>
      <c r="B41" s="11">
        <f>ROUND(100*INDEX(tblExecKPIs[Value],MATCH("Active requests aged 90+ days",tblExecKPIs[Metric],0))/INDEX(tblExecKPIs[Value],MATCH("Active request backlog (case records)",tblExecKPIs[Metric],0)),1)</f>
        <v/>
      </c>
      <c r="C41" s="11" t="n">
        <v>76.09999999999999</v>
      </c>
      <c r="D41" s="7">
        <f>IF(ROUND(B41,1)=ROUND(C41,1),"MATCH","REVIEW")</f>
        <v/>
      </c>
    </row>
    <row r="42">
      <c r="A42" s="7" t="inlineStr">
        <is>
          <t>Duplicate children as % of active backlog</t>
        </is>
      </c>
      <c r="B42" s="11">
        <f>ROUND(100*INDEX(tblExecKPIs[Value],MATCH("Active case records flagged as duplicate children",tblExecKPIs[Metric],0))/INDEX(tblExecKPIs[Value],MATCH("Active request backlog (case records)",tblExecKPIs[Metric],0)),1)</f>
        <v/>
      </c>
      <c r="C42" s="11" t="n">
        <v>27</v>
      </c>
      <c r="D42" s="7">
        <f>IF(ROUND(B42,1)=ROUND(C42,1),"MATCH","REVIEW")</f>
        <v/>
      </c>
    </row>
    <row r="43">
      <c r="A43" s="7" t="inlineStr">
        <is>
          <t>Year-over-year demand change %</t>
        </is>
      </c>
      <c r="B43" s="11">
        <f>ROUND(100*(INDEX(tblExecKPIs[Value],MATCH("Submissions, January to last complete month, current year",tblExecKPIs[Metric],0))-INDEX(tblExecKPIs[Value],MATCH("Submissions, same months, prior year",tblExecKPIs[Metric],0)))/INDEX(tblExecKPIs[Value],MATCH("Submissions, same months, prior year",tblExecKPIs[Metric],0)),1)</f>
        <v/>
      </c>
      <c r="C43" s="11" t="n">
        <v>9.300000000000001</v>
      </c>
      <c r="D43" s="7">
        <f>IF(ROUND(B43,1)=ROUND(C43,1),"MATCH","REVIEW")</f>
        <v/>
      </c>
    </row>
    <row r="45">
      <c r="A45" s="3" t="inlineStr">
        <is>
          <t>Note on PivotTables: this workbook contains no native Excel PivotTables. They cannot be authored reliably from Python, so rather than claim otherwise every sheet is a native Excel Table with filter dropdowns — select any of them and use Insert &gt; PivotTable to build one directly.</t>
        </is>
      </c>
    </row>
    <row r="46"/>
    <row r="47"/>
  </sheetData>
  <mergeCells count="3">
    <mergeCell ref="A45:G47"/>
    <mergeCell ref="A5:G7"/>
    <mergeCell ref="A4:G4"/>
  </mergeCells>
  <conditionalFormatting sqref="B11:B36">
    <cfRule type="dataBar" priority="1">
      <dataBar showValue="1">
        <cfvo type="min"/>
        <cfvo type="max"/>
        <color rgb="FF2A78D6"/>
      </dataBar>
    </cfRule>
  </conditionalFormatting>
  <conditionalFormatting sqref="D41:D43">
    <cfRule type="cellIs" priority="2" operator="equal" dxfId="0">
      <formula>"MATCH"</formula>
    </cfRule>
    <cfRule type="cellIs" priority="3" operator="equal" dxfId="1">
      <formula>"REVIEW"</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G7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11" customWidth="1" min="3" max="3"/>
    <col width="11" customWidth="1" min="4" max="4"/>
    <col width="26" customWidth="1" min="5" max="5"/>
    <col width="23" customWidth="1" min="6" max="6"/>
    <col width="46" customWidth="1" min="7" max="7"/>
  </cols>
  <sheetData>
    <row r="1">
      <c r="A1" s="12" t="inlineStr">
        <is>
          <t>Monthly demand and terminal-status lifecycle context</t>
        </is>
      </c>
    </row>
    <row r="2">
      <c r="A2" s="2" t="inlineStr">
        <is>
          <t>Snapshot 2026-08-09. Coverage flags matter: months before January 2025 are not fully covered by the extracts in scope.</t>
        </is>
      </c>
    </row>
    <row r="3">
      <c r="A3" s="13" t="inlineStr">
        <is>
          <t>Q11 - How has demand changed where the source data allows a fair comparison?</t>
        </is>
      </c>
    </row>
    <row r="5" ht="30" customHeight="1">
      <c r="A5" s="6" t="inlineStr">
        <is>
          <t>Month</t>
        </is>
      </c>
      <c r="B5" s="6" t="inlineStr">
        <is>
          <t>Submissions</t>
        </is>
      </c>
      <c r="C5" s="6" t="inlineStr">
        <is>
          <t>Distinct issues</t>
        </is>
      </c>
      <c r="D5" s="6" t="inlineStr">
        <is>
          <t>Duplicate children</t>
        </is>
      </c>
      <c r="E5" s="6" t="inlineStr">
        <is>
          <t>Still active</t>
        </is>
      </c>
      <c r="F5" s="6" t="inlineStr">
        <is>
          <t>% still active</t>
        </is>
      </c>
      <c r="G5" s="6" t="inlineStr">
        <is>
          <t>Coverage</t>
        </is>
      </c>
    </row>
    <row r="6">
      <c r="A6" s="7" t="inlineStr">
        <is>
          <t>2024-01</t>
        </is>
      </c>
      <c r="B6" s="8" t="n">
        <v>1648</v>
      </c>
      <c r="C6" s="8" t="n">
        <v>1479</v>
      </c>
      <c r="D6" s="8" t="n">
        <v>494</v>
      </c>
      <c r="E6" s="8" t="n">
        <v>953</v>
      </c>
      <c r="F6" s="11" t="n">
        <v>57.8</v>
      </c>
      <c r="G6" s="7" t="inlineStr">
        <is>
          <t>incomplete - closures before 2025 are out of scope</t>
        </is>
      </c>
    </row>
    <row r="7">
      <c r="A7" s="7" t="inlineStr">
        <is>
          <t>2024-02</t>
        </is>
      </c>
      <c r="B7" s="8" t="n">
        <v>1543</v>
      </c>
      <c r="C7" s="8" t="n">
        <v>1377</v>
      </c>
      <c r="D7" s="8" t="n">
        <v>471</v>
      </c>
      <c r="E7" s="8" t="n">
        <v>819</v>
      </c>
      <c r="F7" s="11" t="n">
        <v>53.1</v>
      </c>
      <c r="G7" s="7" t="inlineStr">
        <is>
          <t>incomplete - closures before 2025 are out of scope</t>
        </is>
      </c>
    </row>
    <row r="8">
      <c r="A8" s="7" t="inlineStr">
        <is>
          <t>2024-03</t>
        </is>
      </c>
      <c r="B8" s="8" t="n">
        <v>1473</v>
      </c>
      <c r="C8" s="8" t="n">
        <v>1367</v>
      </c>
      <c r="D8" s="8" t="n">
        <v>401</v>
      </c>
      <c r="E8" s="8" t="n">
        <v>744</v>
      </c>
      <c r="F8" s="11" t="n">
        <v>50.5</v>
      </c>
      <c r="G8" s="7" t="inlineStr">
        <is>
          <t>incomplete - closures before 2025 are out of scope</t>
        </is>
      </c>
    </row>
    <row r="9">
      <c r="A9" s="7" t="inlineStr">
        <is>
          <t>2024-04</t>
        </is>
      </c>
      <c r="B9" s="8" t="n">
        <v>1527</v>
      </c>
      <c r="C9" s="8" t="n">
        <v>1468</v>
      </c>
      <c r="D9" s="8" t="n">
        <v>384</v>
      </c>
      <c r="E9" s="8" t="n">
        <v>752</v>
      </c>
      <c r="F9" s="11" t="n">
        <v>49.2</v>
      </c>
      <c r="G9" s="7" t="inlineStr">
        <is>
          <t>incomplete - closures before 2025 are out of scope</t>
        </is>
      </c>
    </row>
    <row r="10">
      <c r="A10" s="7" t="inlineStr">
        <is>
          <t>2024-05</t>
        </is>
      </c>
      <c r="B10" s="8" t="n">
        <v>1758</v>
      </c>
      <c r="C10" s="8" t="n">
        <v>1627</v>
      </c>
      <c r="D10" s="8" t="n">
        <v>490</v>
      </c>
      <c r="E10" s="8" t="n">
        <v>807</v>
      </c>
      <c r="F10" s="11" t="n">
        <v>45.9</v>
      </c>
      <c r="G10" s="7" t="inlineStr">
        <is>
          <t>incomplete - closures before 2025 are out of scope</t>
        </is>
      </c>
    </row>
    <row r="11">
      <c r="A11" s="7" t="inlineStr">
        <is>
          <t>2024-06</t>
        </is>
      </c>
      <c r="B11" s="8" t="n">
        <v>1716</v>
      </c>
      <c r="C11" s="8" t="n">
        <v>1604</v>
      </c>
      <c r="D11" s="8" t="n">
        <v>418</v>
      </c>
      <c r="E11" s="8" t="n">
        <v>701</v>
      </c>
      <c r="F11" s="11" t="n">
        <v>40.9</v>
      </c>
      <c r="G11" s="7" t="inlineStr">
        <is>
          <t>incomplete - closures before 2025 are out of scope</t>
        </is>
      </c>
    </row>
    <row r="12">
      <c r="A12" s="7" t="inlineStr">
        <is>
          <t>2024-07</t>
        </is>
      </c>
      <c r="B12" s="8" t="n">
        <v>1907</v>
      </c>
      <c r="C12" s="8" t="n">
        <v>1761</v>
      </c>
      <c r="D12" s="8" t="n">
        <v>480</v>
      </c>
      <c r="E12" s="8" t="n">
        <v>769</v>
      </c>
      <c r="F12" s="11" t="n">
        <v>40.3</v>
      </c>
      <c r="G12" s="7" t="inlineStr">
        <is>
          <t>incomplete - closures before 2025 are out of scope</t>
        </is>
      </c>
    </row>
    <row r="13">
      <c r="A13" s="7" t="inlineStr">
        <is>
          <t>2024-08</t>
        </is>
      </c>
      <c r="B13" s="8" t="n">
        <v>2476</v>
      </c>
      <c r="C13" s="8" t="n">
        <v>2289</v>
      </c>
      <c r="D13" s="8" t="n">
        <v>595</v>
      </c>
      <c r="E13" s="8" t="n">
        <v>986</v>
      </c>
      <c r="F13" s="11" t="n">
        <v>39.8</v>
      </c>
      <c r="G13" s="7" t="inlineStr">
        <is>
          <t>incomplete - closures before 2025 are out of scope</t>
        </is>
      </c>
    </row>
    <row r="14">
      <c r="A14" s="7" t="inlineStr">
        <is>
          <t>2024-09</t>
        </is>
      </c>
      <c r="B14" s="8" t="n">
        <v>2620</v>
      </c>
      <c r="C14" s="8" t="n">
        <v>2364</v>
      </c>
      <c r="D14" s="8" t="n">
        <v>713</v>
      </c>
      <c r="E14" s="8" t="n">
        <v>1055</v>
      </c>
      <c r="F14" s="11" t="n">
        <v>40.3</v>
      </c>
      <c r="G14" s="7" t="inlineStr">
        <is>
          <t>incomplete - closures before 2025 are out of scope</t>
        </is>
      </c>
    </row>
    <row r="15">
      <c r="A15" s="7" t="inlineStr">
        <is>
          <t>2024-10</t>
        </is>
      </c>
      <c r="B15" s="8" t="n">
        <v>3506</v>
      </c>
      <c r="C15" s="8" t="n">
        <v>3133</v>
      </c>
      <c r="D15" s="8" t="n">
        <v>932</v>
      </c>
      <c r="E15" s="8" t="n">
        <v>1252</v>
      </c>
      <c r="F15" s="11" t="n">
        <v>35.7</v>
      </c>
      <c r="G15" s="7" t="inlineStr">
        <is>
          <t>incomplete - closures before 2025 are out of scope</t>
        </is>
      </c>
    </row>
    <row r="16">
      <c r="A16" s="7" t="inlineStr">
        <is>
          <t>2024-11</t>
        </is>
      </c>
      <c r="B16" s="8" t="n">
        <v>3782</v>
      </c>
      <c r="C16" s="8" t="n">
        <v>3342</v>
      </c>
      <c r="D16" s="8" t="n">
        <v>1038</v>
      </c>
      <c r="E16" s="8" t="n">
        <v>1121</v>
      </c>
      <c r="F16" s="11" t="n">
        <v>29.6</v>
      </c>
      <c r="G16" s="7" t="inlineStr">
        <is>
          <t>incomplete - closures before 2025 are out of scope</t>
        </is>
      </c>
    </row>
    <row r="17">
      <c r="A17" s="7" t="inlineStr">
        <is>
          <t>2024-12</t>
        </is>
      </c>
      <c r="B17" s="8" t="n">
        <v>7305</v>
      </c>
      <c r="C17" s="8" t="n">
        <v>6487</v>
      </c>
      <c r="D17" s="8" t="n">
        <v>1466</v>
      </c>
      <c r="E17" s="8" t="n">
        <v>1020</v>
      </c>
      <c r="F17" s="11" t="n">
        <v>14</v>
      </c>
      <c r="G17" s="7" t="inlineStr">
        <is>
          <t>incomplete - closures before 2025 are out of scope</t>
        </is>
      </c>
    </row>
    <row r="18">
      <c r="A18" s="7" t="inlineStr">
        <is>
          <t>2025-01</t>
        </is>
      </c>
      <c r="B18" s="8" t="n">
        <v>33626</v>
      </c>
      <c r="C18" s="8" t="n">
        <v>31494</v>
      </c>
      <c r="D18" s="8" t="n">
        <v>3249</v>
      </c>
      <c r="E18" s="8" t="n">
        <v>1439</v>
      </c>
      <c r="F18" s="11" t="n">
        <v>4.3</v>
      </c>
      <c r="G18" s="7" t="inlineStr">
        <is>
          <t>complete</t>
        </is>
      </c>
    </row>
    <row r="19">
      <c r="A19" s="7" t="inlineStr">
        <is>
          <t>2025-02</t>
        </is>
      </c>
      <c r="B19" s="8" t="n">
        <v>29856</v>
      </c>
      <c r="C19" s="8" t="n">
        <v>27204</v>
      </c>
      <c r="D19" s="8" t="n">
        <v>3508</v>
      </c>
      <c r="E19" s="8" t="n">
        <v>1216</v>
      </c>
      <c r="F19" s="11" t="n">
        <v>4.1</v>
      </c>
      <c r="G19" s="7" t="inlineStr">
        <is>
          <t>complete</t>
        </is>
      </c>
    </row>
    <row r="20">
      <c r="A20" s="7" t="inlineStr">
        <is>
          <t>2025-03</t>
        </is>
      </c>
      <c r="B20" s="8" t="n">
        <v>33859</v>
      </c>
      <c r="C20" s="8" t="n">
        <v>30566</v>
      </c>
      <c r="D20" s="8" t="n">
        <v>4395</v>
      </c>
      <c r="E20" s="8" t="n">
        <v>1298</v>
      </c>
      <c r="F20" s="11" t="n">
        <v>3.8</v>
      </c>
      <c r="G20" s="7" t="inlineStr">
        <is>
          <t>complete</t>
        </is>
      </c>
    </row>
    <row r="21">
      <c r="A21" s="7" t="inlineStr">
        <is>
          <t>2025-04</t>
        </is>
      </c>
      <c r="B21" s="8" t="n">
        <v>31357</v>
      </c>
      <c r="C21" s="8" t="n">
        <v>29092</v>
      </c>
      <c r="D21" s="8" t="n">
        <v>3381</v>
      </c>
      <c r="E21" s="8" t="n">
        <v>1151</v>
      </c>
      <c r="F21" s="11" t="n">
        <v>3.7</v>
      </c>
      <c r="G21" s="7" t="inlineStr">
        <is>
          <t>complete</t>
        </is>
      </c>
    </row>
    <row r="22">
      <c r="A22" s="7" t="inlineStr">
        <is>
          <t>2025-05</t>
        </is>
      </c>
      <c r="B22" s="8" t="n">
        <v>31174</v>
      </c>
      <c r="C22" s="8" t="n">
        <v>28793</v>
      </c>
      <c r="D22" s="8" t="n">
        <v>3462</v>
      </c>
      <c r="E22" s="8" t="n">
        <v>1416</v>
      </c>
      <c r="F22" s="11" t="n">
        <v>4.5</v>
      </c>
      <c r="G22" s="7" t="inlineStr">
        <is>
          <t>complete</t>
        </is>
      </c>
    </row>
    <row r="23">
      <c r="A23" s="7" t="inlineStr">
        <is>
          <t>2025-06</t>
        </is>
      </c>
      <c r="B23" s="8" t="n">
        <v>31133</v>
      </c>
      <c r="C23" s="8" t="n">
        <v>28788</v>
      </c>
      <c r="D23" s="8" t="n">
        <v>3379</v>
      </c>
      <c r="E23" s="8" t="n">
        <v>1409</v>
      </c>
      <c r="F23" s="11" t="n">
        <v>4.5</v>
      </c>
      <c r="G23" s="7" t="inlineStr">
        <is>
          <t>complete</t>
        </is>
      </c>
    </row>
    <row r="24">
      <c r="A24" s="7" t="inlineStr">
        <is>
          <t>2025-07</t>
        </is>
      </c>
      <c r="B24" s="8" t="n">
        <v>34623</v>
      </c>
      <c r="C24" s="8" t="n">
        <v>32008</v>
      </c>
      <c r="D24" s="8" t="n">
        <v>3737</v>
      </c>
      <c r="E24" s="8" t="n">
        <v>1555</v>
      </c>
      <c r="F24" s="11" t="n">
        <v>4.5</v>
      </c>
      <c r="G24" s="7" t="inlineStr">
        <is>
          <t>complete</t>
        </is>
      </c>
    </row>
    <row r="25">
      <c r="A25" s="7" t="inlineStr">
        <is>
          <t>2025-08</t>
        </is>
      </c>
      <c r="B25" s="8" t="n">
        <v>35573</v>
      </c>
      <c r="C25" s="8" t="n">
        <v>32492</v>
      </c>
      <c r="D25" s="8" t="n">
        <v>4349</v>
      </c>
      <c r="E25" s="8" t="n">
        <v>1676</v>
      </c>
      <c r="F25" s="11" t="n">
        <v>4.7</v>
      </c>
      <c r="G25" s="7" t="inlineStr">
        <is>
          <t>complete</t>
        </is>
      </c>
    </row>
    <row r="26">
      <c r="A26" s="7" t="inlineStr">
        <is>
          <t>2025-09</t>
        </is>
      </c>
      <c r="B26" s="8" t="n">
        <v>32684</v>
      </c>
      <c r="C26" s="8" t="n">
        <v>30226</v>
      </c>
      <c r="D26" s="8" t="n">
        <v>3763</v>
      </c>
      <c r="E26" s="8" t="n">
        <v>1581</v>
      </c>
      <c r="F26" s="11" t="n">
        <v>4.8</v>
      </c>
      <c r="G26" s="7" t="inlineStr">
        <is>
          <t>complete</t>
        </is>
      </c>
    </row>
    <row r="27">
      <c r="A27" s="7" t="inlineStr">
        <is>
          <t>2025-10</t>
        </is>
      </c>
      <c r="B27" s="8" t="n">
        <v>32573</v>
      </c>
      <c r="C27" s="8" t="n">
        <v>30041</v>
      </c>
      <c r="D27" s="8" t="n">
        <v>3730</v>
      </c>
      <c r="E27" s="8" t="n">
        <v>1837</v>
      </c>
      <c r="F27" s="11" t="n">
        <v>5.6</v>
      </c>
      <c r="G27" s="7" t="inlineStr">
        <is>
          <t>complete</t>
        </is>
      </c>
    </row>
    <row r="28">
      <c r="A28" s="7" t="inlineStr">
        <is>
          <t>2025-11</t>
        </is>
      </c>
      <c r="B28" s="8" t="n">
        <v>31281</v>
      </c>
      <c r="C28" s="8" t="n">
        <v>28577</v>
      </c>
      <c r="D28" s="8" t="n">
        <v>3810</v>
      </c>
      <c r="E28" s="8" t="n">
        <v>1878</v>
      </c>
      <c r="F28" s="11" t="n">
        <v>6</v>
      </c>
      <c r="G28" s="7" t="inlineStr">
        <is>
          <t>complete</t>
        </is>
      </c>
    </row>
    <row r="29">
      <c r="A29" s="7" t="inlineStr">
        <is>
          <t>2025-12</t>
        </is>
      </c>
      <c r="B29" s="8" t="n">
        <v>32201</v>
      </c>
      <c r="C29" s="8" t="n">
        <v>29488</v>
      </c>
      <c r="D29" s="8" t="n">
        <v>3901</v>
      </c>
      <c r="E29" s="8" t="n">
        <v>1994</v>
      </c>
      <c r="F29" s="11" t="n">
        <v>6.2</v>
      </c>
      <c r="G29" s="7" t="inlineStr">
        <is>
          <t>complete</t>
        </is>
      </c>
    </row>
    <row r="30">
      <c r="A30" s="7" t="inlineStr">
        <is>
          <t>2026-01</t>
        </is>
      </c>
      <c r="B30" s="8" t="n">
        <v>39070</v>
      </c>
      <c r="C30" s="8" t="n">
        <v>34550</v>
      </c>
      <c r="D30" s="8" t="n">
        <v>5805</v>
      </c>
      <c r="E30" s="8" t="n">
        <v>2583</v>
      </c>
      <c r="F30" s="11" t="n">
        <v>6.6</v>
      </c>
      <c r="G30" s="7" t="inlineStr">
        <is>
          <t>complete</t>
        </is>
      </c>
    </row>
    <row r="31">
      <c r="A31" s="7" t="inlineStr">
        <is>
          <t>2026-02</t>
        </is>
      </c>
      <c r="B31" s="8" t="n">
        <v>30305</v>
      </c>
      <c r="C31" s="8" t="n">
        <v>27458</v>
      </c>
      <c r="D31" s="8" t="n">
        <v>3935</v>
      </c>
      <c r="E31" s="8" t="n">
        <v>2846</v>
      </c>
      <c r="F31" s="11" t="n">
        <v>9.4</v>
      </c>
      <c r="G31" s="7" t="inlineStr">
        <is>
          <t>complete</t>
        </is>
      </c>
    </row>
    <row r="32">
      <c r="A32" s="7" t="inlineStr">
        <is>
          <t>2026-03</t>
        </is>
      </c>
      <c r="B32" s="8" t="n">
        <v>35512</v>
      </c>
      <c r="C32" s="8" t="n">
        <v>32273</v>
      </c>
      <c r="D32" s="8" t="n">
        <v>4382</v>
      </c>
      <c r="E32" s="8" t="n">
        <v>2510</v>
      </c>
      <c r="F32" s="11" t="n">
        <v>7.1</v>
      </c>
      <c r="G32" s="7" t="inlineStr">
        <is>
          <t>complete</t>
        </is>
      </c>
    </row>
    <row r="33">
      <c r="A33" s="7" t="inlineStr">
        <is>
          <t>2026-04</t>
        </is>
      </c>
      <c r="B33" s="8" t="n">
        <v>34440</v>
      </c>
      <c r="C33" s="8" t="n">
        <v>31573</v>
      </c>
      <c r="D33" s="8" t="n">
        <v>3988</v>
      </c>
      <c r="E33" s="8" t="n">
        <v>2919</v>
      </c>
      <c r="F33" s="11" t="n">
        <v>8.5</v>
      </c>
      <c r="G33" s="7" t="inlineStr">
        <is>
          <t>complete</t>
        </is>
      </c>
    </row>
    <row r="34">
      <c r="A34" s="7" t="inlineStr">
        <is>
          <t>2026-05</t>
        </is>
      </c>
      <c r="B34" s="8" t="n">
        <v>34226</v>
      </c>
      <c r="C34" s="8" t="n">
        <v>31213</v>
      </c>
      <c r="D34" s="8" t="n">
        <v>4153</v>
      </c>
      <c r="E34" s="8" t="n">
        <v>3342</v>
      </c>
      <c r="F34" s="11" t="n">
        <v>9.800000000000001</v>
      </c>
      <c r="G34" s="7" t="inlineStr">
        <is>
          <t>complete</t>
        </is>
      </c>
    </row>
    <row r="35">
      <c r="A35" s="7" t="inlineStr">
        <is>
          <t>2026-06</t>
        </is>
      </c>
      <c r="B35" s="8" t="n">
        <v>35858</v>
      </c>
      <c r="C35" s="8" t="n">
        <v>32818</v>
      </c>
      <c r="D35" s="8" t="n">
        <v>4184</v>
      </c>
      <c r="E35" s="8" t="n">
        <v>4275</v>
      </c>
      <c r="F35" s="11" t="n">
        <v>11.9</v>
      </c>
      <c r="G35" s="7" t="inlineStr">
        <is>
          <t>complete</t>
        </is>
      </c>
    </row>
    <row r="36">
      <c r="A36" s="7" t="inlineStr">
        <is>
          <t>2026-07</t>
        </is>
      </c>
      <c r="B36" s="8" t="n">
        <v>37161</v>
      </c>
      <c r="C36" s="8" t="n">
        <v>33877</v>
      </c>
      <c r="D36" s="8" t="n">
        <v>4387</v>
      </c>
      <c r="E36" s="8" t="n">
        <v>7890</v>
      </c>
      <c r="F36" s="11" t="n">
        <v>21.2</v>
      </c>
      <c r="G36" s="7" t="inlineStr">
        <is>
          <t>complete</t>
        </is>
      </c>
    </row>
    <row r="37">
      <c r="A37" s="7" t="inlineStr">
        <is>
          <t>2026-08</t>
        </is>
      </c>
      <c r="B37" s="8" t="n">
        <v>9357</v>
      </c>
      <c r="C37" s="8" t="n">
        <v>8644</v>
      </c>
      <c r="D37" s="8" t="n">
        <v>1202</v>
      </c>
      <c r="E37" s="8" t="n">
        <v>4957</v>
      </c>
      <c r="F37" s="11" t="n">
        <v>53</v>
      </c>
      <c r="G37" s="7" t="inlineStr">
        <is>
          <t>incomplete - month still in progress at snapshot</t>
        </is>
      </c>
    </row>
    <row r="58">
      <c r="A58" s="5" t="inlineStr">
        <is>
          <t>Terminal-status records by recorded closure month</t>
        </is>
      </c>
    </row>
    <row r="59" ht="30" customHeight="1">
      <c r="A59" s="6" t="inlineStr">
        <is>
          <t>Month</t>
        </is>
      </c>
      <c r="B59" s="6" t="inlineStr">
        <is>
          <t>Closures recorded</t>
        </is>
      </c>
      <c r="C59" s="6" t="inlineStr">
        <is>
          <t>Closed</t>
        </is>
      </c>
      <c r="D59" s="6" t="inlineStr">
        <is>
          <t>Referred</t>
        </is>
      </c>
      <c r="E59" s="6" t="inlineStr">
        <is>
          <t>Median lifecycle (days)</t>
        </is>
      </c>
      <c r="F59" s="6" t="inlineStr">
        <is>
          <t>P90 lifecycle (days)</t>
        </is>
      </c>
      <c r="G59" s="6" t="inlineStr">
        <is>
          <t>Coverage</t>
        </is>
      </c>
    </row>
    <row r="60">
      <c r="A60" s="7" t="inlineStr">
        <is>
          <t>2025-01</t>
        </is>
      </c>
      <c r="B60" s="8" t="n">
        <v>33688</v>
      </c>
      <c r="C60" s="8" t="n">
        <v>30851</v>
      </c>
      <c r="D60" s="8" t="n">
        <v>2837</v>
      </c>
      <c r="E60" s="8" t="n">
        <v>2</v>
      </c>
      <c r="F60" s="8" t="n">
        <v>83</v>
      </c>
      <c r="G60" s="7" t="inlineStr">
        <is>
          <t>complete</t>
        </is>
      </c>
    </row>
    <row r="61">
      <c r="A61" s="7" t="inlineStr">
        <is>
          <t>2025-02</t>
        </is>
      </c>
      <c r="B61" s="8" t="n">
        <v>28745</v>
      </c>
      <c r="C61" s="8" t="n">
        <v>26249</v>
      </c>
      <c r="D61" s="8" t="n">
        <v>2496</v>
      </c>
      <c r="E61" s="8" t="n">
        <v>2</v>
      </c>
      <c r="F61" s="8" t="n">
        <v>58</v>
      </c>
      <c r="G61" s="7" t="inlineStr">
        <is>
          <t>complete</t>
        </is>
      </c>
    </row>
    <row r="62">
      <c r="A62" s="7" t="inlineStr">
        <is>
          <t>2025-03</t>
        </is>
      </c>
      <c r="B62" s="8" t="n">
        <v>29461</v>
      </c>
      <c r="C62" s="8" t="n">
        <v>27095</v>
      </c>
      <c r="D62" s="8" t="n">
        <v>2366</v>
      </c>
      <c r="E62" s="8" t="n">
        <v>2</v>
      </c>
      <c r="F62" s="8" t="n">
        <v>57</v>
      </c>
      <c r="G62" s="7" t="inlineStr">
        <is>
          <t>complete</t>
        </is>
      </c>
    </row>
    <row r="63">
      <c r="A63" s="7" t="inlineStr">
        <is>
          <t>2025-04</t>
        </is>
      </c>
      <c r="B63" s="8" t="n">
        <v>35653</v>
      </c>
      <c r="C63" s="8" t="n">
        <v>33021</v>
      </c>
      <c r="D63" s="8" t="n">
        <v>2632</v>
      </c>
      <c r="E63" s="8" t="n">
        <v>3</v>
      </c>
      <c r="F63" s="9" t="n">
        <v>146.7999999999993</v>
      </c>
      <c r="G63" s="7" t="inlineStr">
        <is>
          <t>complete</t>
        </is>
      </c>
    </row>
    <row r="64">
      <c r="A64" s="7" t="inlineStr">
        <is>
          <t>2025-05</t>
        </is>
      </c>
      <c r="B64" s="8" t="n">
        <v>30462</v>
      </c>
      <c r="C64" s="8" t="n">
        <v>28029</v>
      </c>
      <c r="D64" s="8" t="n">
        <v>2433</v>
      </c>
      <c r="E64" s="8" t="n">
        <v>2</v>
      </c>
      <c r="F64" s="8" t="n">
        <v>57</v>
      </c>
      <c r="G64" s="7" t="inlineStr">
        <is>
          <t>complete</t>
        </is>
      </c>
    </row>
    <row r="65">
      <c r="A65" s="7" t="inlineStr">
        <is>
          <t>2025-06</t>
        </is>
      </c>
      <c r="B65" s="8" t="n">
        <v>29030</v>
      </c>
      <c r="C65" s="8" t="n">
        <v>26833</v>
      </c>
      <c r="D65" s="8" t="n">
        <v>2197</v>
      </c>
      <c r="E65" s="8" t="n">
        <v>2</v>
      </c>
      <c r="F65" s="8" t="n">
        <v>47</v>
      </c>
      <c r="G65" s="7" t="inlineStr">
        <is>
          <t>complete</t>
        </is>
      </c>
    </row>
    <row r="66">
      <c r="A66" s="7" t="inlineStr">
        <is>
          <t>2025-07</t>
        </is>
      </c>
      <c r="B66" s="8" t="n">
        <v>30592</v>
      </c>
      <c r="C66" s="8" t="n">
        <v>28346</v>
      </c>
      <c r="D66" s="8" t="n">
        <v>2246</v>
      </c>
      <c r="E66" s="8" t="n">
        <v>2</v>
      </c>
      <c r="F66" s="8" t="n">
        <v>40</v>
      </c>
      <c r="G66" s="7" t="inlineStr">
        <is>
          <t>complete</t>
        </is>
      </c>
    </row>
    <row r="67">
      <c r="A67" s="7" t="inlineStr">
        <is>
          <t>2025-08</t>
        </is>
      </c>
      <c r="B67" s="8" t="n">
        <v>31170</v>
      </c>
      <c r="C67" s="8" t="n">
        <v>28775</v>
      </c>
      <c r="D67" s="8" t="n">
        <v>2395</v>
      </c>
      <c r="E67" s="8" t="n">
        <v>2</v>
      </c>
      <c r="F67" s="8" t="n">
        <v>42</v>
      </c>
      <c r="G67" s="7" t="inlineStr">
        <is>
          <t>complete</t>
        </is>
      </c>
    </row>
    <row r="68">
      <c r="A68" s="7" t="inlineStr">
        <is>
          <t>2025-09</t>
        </is>
      </c>
      <c r="B68" s="8" t="n">
        <v>33163</v>
      </c>
      <c r="C68" s="8" t="n">
        <v>30793</v>
      </c>
      <c r="D68" s="8" t="n">
        <v>2370</v>
      </c>
      <c r="E68" s="8" t="n">
        <v>3</v>
      </c>
      <c r="F68" s="8" t="n">
        <v>66</v>
      </c>
      <c r="G68" s="7" t="inlineStr">
        <is>
          <t>complete</t>
        </is>
      </c>
    </row>
    <row r="69">
      <c r="A69" s="7" t="inlineStr">
        <is>
          <t>2025-10</t>
        </is>
      </c>
      <c r="B69" s="8" t="n">
        <v>34434</v>
      </c>
      <c r="C69" s="8" t="n">
        <v>32148</v>
      </c>
      <c r="D69" s="8" t="n">
        <v>2286</v>
      </c>
      <c r="E69" s="8" t="n">
        <v>3</v>
      </c>
      <c r="F69" s="8" t="n">
        <v>93</v>
      </c>
      <c r="G69" s="7" t="inlineStr">
        <is>
          <t>complete</t>
        </is>
      </c>
    </row>
    <row r="70">
      <c r="A70" s="7" t="inlineStr">
        <is>
          <t>2025-11</t>
        </is>
      </c>
      <c r="B70" s="8" t="n">
        <v>30393</v>
      </c>
      <c r="C70" s="8" t="n">
        <v>28677</v>
      </c>
      <c r="D70" s="8" t="n">
        <v>1716</v>
      </c>
      <c r="E70" s="8" t="n">
        <v>4</v>
      </c>
      <c r="F70" s="8" t="n">
        <v>95</v>
      </c>
      <c r="G70" s="7" t="inlineStr">
        <is>
          <t>complete</t>
        </is>
      </c>
    </row>
    <row r="71">
      <c r="A71" s="7" t="inlineStr">
        <is>
          <t>2025-12</t>
        </is>
      </c>
      <c r="B71" s="8" t="n">
        <v>31869</v>
      </c>
      <c r="C71" s="8" t="n">
        <v>29886</v>
      </c>
      <c r="D71" s="8" t="n">
        <v>1983</v>
      </c>
      <c r="E71" s="8" t="n">
        <v>3</v>
      </c>
      <c r="F71" s="8" t="n">
        <v>63</v>
      </c>
      <c r="G71" s="7" t="inlineStr">
        <is>
          <t>complete</t>
        </is>
      </c>
    </row>
    <row r="72">
      <c r="A72" s="7" t="inlineStr">
        <is>
          <t>2026-01</t>
        </is>
      </c>
      <c r="B72" s="8" t="n">
        <v>34577</v>
      </c>
      <c r="C72" s="8" t="n">
        <v>32478</v>
      </c>
      <c r="D72" s="8" t="n">
        <v>2099</v>
      </c>
      <c r="E72" s="8" t="n">
        <v>4</v>
      </c>
      <c r="F72" s="8" t="n">
        <v>63</v>
      </c>
      <c r="G72" s="7" t="inlineStr">
        <is>
          <t>complete</t>
        </is>
      </c>
    </row>
    <row r="73">
      <c r="A73" s="7" t="inlineStr">
        <is>
          <t>2026-02</t>
        </is>
      </c>
      <c r="B73" s="8" t="n">
        <v>33757</v>
      </c>
      <c r="C73" s="8" t="n">
        <v>31872</v>
      </c>
      <c r="D73" s="8" t="n">
        <v>1885</v>
      </c>
      <c r="E73" s="8" t="n">
        <v>5</v>
      </c>
      <c r="F73" s="8" t="n">
        <v>100</v>
      </c>
      <c r="G73" s="7" t="inlineStr">
        <is>
          <t>complete</t>
        </is>
      </c>
    </row>
    <row r="74">
      <c r="A74" s="7" t="inlineStr">
        <is>
          <t>2026-03</t>
        </is>
      </c>
      <c r="B74" s="8" t="n">
        <v>39123</v>
      </c>
      <c r="C74" s="8" t="n">
        <v>37088</v>
      </c>
      <c r="D74" s="8" t="n">
        <v>2035</v>
      </c>
      <c r="E74" s="8" t="n">
        <v>4</v>
      </c>
      <c r="F74" s="8" t="n">
        <v>2753</v>
      </c>
      <c r="G74" s="7" t="inlineStr">
        <is>
          <t>complete</t>
        </is>
      </c>
    </row>
    <row r="75">
      <c r="A75" s="7" t="inlineStr">
        <is>
          <t>2026-04</t>
        </is>
      </c>
      <c r="B75" s="8" t="n">
        <v>35550</v>
      </c>
      <c r="C75" s="8" t="n">
        <v>33329</v>
      </c>
      <c r="D75" s="8" t="n">
        <v>2221</v>
      </c>
      <c r="E75" s="8" t="n">
        <v>3</v>
      </c>
      <c r="F75" s="8" t="n">
        <v>65</v>
      </c>
      <c r="G75" s="7" t="inlineStr">
        <is>
          <t>complete</t>
        </is>
      </c>
    </row>
    <row r="76">
      <c r="A76" s="7" t="inlineStr">
        <is>
          <t>2026-05</t>
        </is>
      </c>
      <c r="B76" s="8" t="n">
        <v>32185</v>
      </c>
      <c r="C76" s="8" t="n">
        <v>30119</v>
      </c>
      <c r="D76" s="8" t="n">
        <v>2066</v>
      </c>
      <c r="E76" s="8" t="n">
        <v>2</v>
      </c>
      <c r="F76" s="9" t="n">
        <v>61.60000000000218</v>
      </c>
      <c r="G76" s="7" t="inlineStr">
        <is>
          <t>complete</t>
        </is>
      </c>
    </row>
    <row r="77">
      <c r="A77" s="7" t="inlineStr">
        <is>
          <t>2026-06</t>
        </is>
      </c>
      <c r="B77" s="8" t="n">
        <v>35563</v>
      </c>
      <c r="C77" s="8" t="n">
        <v>33336</v>
      </c>
      <c r="D77" s="8" t="n">
        <v>2227</v>
      </c>
      <c r="E77" s="8" t="n">
        <v>2</v>
      </c>
      <c r="F77" s="8" t="n">
        <v>41</v>
      </c>
      <c r="G77" s="7" t="inlineStr">
        <is>
          <t>complete</t>
        </is>
      </c>
    </row>
    <row r="78">
      <c r="A78" s="7" t="inlineStr">
        <is>
          <t>2026-07</t>
        </is>
      </c>
      <c r="B78" s="8" t="n">
        <v>35577</v>
      </c>
      <c r="C78" s="8" t="n">
        <v>33319</v>
      </c>
      <c r="D78" s="8" t="n">
        <v>2258</v>
      </c>
      <c r="E78" s="8" t="n">
        <v>2</v>
      </c>
      <c r="F78" s="8" t="n">
        <v>57</v>
      </c>
      <c r="G78" s="7" t="inlineStr">
        <is>
          <t>complete</t>
        </is>
      </c>
    </row>
    <row r="79">
      <c r="A79" s="7" t="inlineStr">
        <is>
          <t>2026-08</t>
        </is>
      </c>
      <c r="B79" s="8" t="n">
        <v>8574</v>
      </c>
      <c r="C79" s="8" t="n">
        <v>8016</v>
      </c>
      <c r="D79" s="8" t="n">
        <v>558</v>
      </c>
      <c r="E79" s="8" t="n">
        <v>3</v>
      </c>
      <c r="F79" s="8" t="n">
        <v>78</v>
      </c>
      <c r="G79" s="7" t="inlineStr">
        <is>
          <t>incomplete - month still in progress at snapshot</t>
        </is>
      </c>
    </row>
  </sheetData>
  <conditionalFormatting sqref="B6:B37">
    <cfRule type="colorScale" priority="1">
      <colorScale>
        <cfvo type="min"/>
        <cfvo type="max"/>
        <color rgb="FFFFFFFF"/>
        <color rgb="FF9EC5F4"/>
      </colorScale>
    </cfRule>
  </conditionalFormatting>
  <pageMargins left="0.75" right="0.75" top="1" bottom="1" header="0.5" footer="0.5"/>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P45"/>
  <sheetViews>
    <sheetView showGridLines="0" workbookViewId="0">
      <pane ySplit="1" topLeftCell="A2" activePane="bottomLeft" state="frozen"/>
      <selection pane="bottomLeft" activeCell="A1" sqref="A1"/>
    </sheetView>
  </sheetViews>
  <sheetFormatPr baseColWidth="8" defaultRowHeight="15"/>
  <cols>
    <col width="42" customWidth="1" min="1" max="1"/>
    <col width="31" customWidth="1" min="2" max="2"/>
    <col width="17" customWidth="1" min="3" max="3"/>
    <col width="18" customWidth="1" min="4" max="4"/>
    <col width="19" customWidth="1" min="5" max="5"/>
    <col width="15" customWidth="1" min="6" max="6"/>
    <col width="20" customWidth="1" min="7" max="7"/>
    <col width="21" customWidth="1" min="8" max="8"/>
    <col width="18" customWidth="1" min="9" max="9"/>
    <col width="11" customWidth="1" min="10" max="10"/>
    <col width="11" customWidth="1" min="11" max="11"/>
    <col width="12" customWidth="1" min="12" max="12"/>
    <col width="26" customWidth="1" min="13" max="13"/>
    <col width="21" customWidth="1" min="14" max="14"/>
    <col width="17" customWidth="1" min="15" max="15"/>
    <col width="21" customWidth="1" min="16" max="16"/>
  </cols>
  <sheetData>
    <row r="1">
      <c r="A1" s="12" t="inlineStr">
        <is>
          <t>Active backlog by service category</t>
        </is>
      </c>
    </row>
    <row r="2">
      <c r="A2" s="2" t="inlineStr">
        <is>
          <t>Every category in the active queue. Use the filter dropdowns to isolate a group.</t>
        </is>
      </c>
    </row>
    <row r="3">
      <c r="A3" s="13" t="inlineStr">
        <is>
          <t>Q2, Q3, Q4 - where the workload sits, which categories are oldest, and which have the longest tail.</t>
        </is>
      </c>
    </row>
    <row r="5" ht="30" customHeight="1">
      <c r="A5" s="6" t="inlineStr">
        <is>
          <t>Service category</t>
        </is>
      </c>
      <c r="B5" s="6" t="inlineStr">
        <is>
          <t>Modal case_record_type</t>
        </is>
      </c>
      <c r="C5" s="6" t="inlineStr">
        <is>
          <t>Active records</t>
        </is>
      </c>
      <c r="D5" s="6" t="inlineStr">
        <is>
          <t>Distinct issues</t>
        </is>
      </c>
      <c r="E5" s="6" t="inlineStr">
        <is>
          <t>Duplicate rate %</t>
        </is>
      </c>
      <c r="F5" s="6" t="inlineStr">
        <is>
          <t>% of backlog</t>
        </is>
      </c>
      <c r="G5" s="6" t="inlineStr">
        <is>
          <t>Median age (days)</t>
        </is>
      </c>
      <c r="H5" s="6" t="inlineStr">
        <is>
          <t>P90 age (days)</t>
        </is>
      </c>
      <c r="I5" s="6" t="inlineStr">
        <is>
          <t>Mean age (days)</t>
        </is>
      </c>
      <c r="J5" s="6" t="inlineStr">
        <is>
          <t>Aged 60+</t>
        </is>
      </c>
      <c r="K5" s="6" t="inlineStr">
        <is>
          <t>Aged 90+</t>
        </is>
      </c>
      <c r="L5" s="6" t="inlineStr">
        <is>
          <t>Aged 365+</t>
        </is>
      </c>
      <c r="M5" s="6" t="inlineStr">
        <is>
          <t>% of own queue aged 90+</t>
        </is>
      </c>
      <c r="N5" s="6" t="inlineStr">
        <is>
          <t>% of city aged 90+</t>
        </is>
      </c>
      <c r="O5" s="6" t="inlineStr">
        <is>
          <t>Rank by volume</t>
        </is>
      </c>
      <c r="P5" s="6" t="inlineStr">
        <is>
          <t>Rank by median age</t>
        </is>
      </c>
    </row>
    <row r="6">
      <c r="A6" s="7" t="inlineStr">
        <is>
          <t>Sidewalk Repair Issue</t>
        </is>
      </c>
      <c r="B6" s="7" t="inlineStr">
        <is>
          <t>TSW</t>
        </is>
      </c>
      <c r="C6" s="8" t="n">
        <v>14614</v>
      </c>
      <c r="D6" s="8" t="n">
        <v>10979</v>
      </c>
      <c r="E6" s="11" t="n">
        <v>25.3</v>
      </c>
      <c r="F6" s="14" t="n">
        <v>17.96</v>
      </c>
      <c r="G6" s="8" t="n">
        <v>1090</v>
      </c>
      <c r="H6" s="8" t="n">
        <v>2617</v>
      </c>
      <c r="I6" s="9" t="n">
        <v>1239.5</v>
      </c>
      <c r="J6" s="8" t="n">
        <v>14047</v>
      </c>
      <c r="K6" s="8" t="n">
        <v>13839</v>
      </c>
      <c r="L6" s="8" t="n">
        <v>11892</v>
      </c>
      <c r="M6" s="11" t="n">
        <v>94.7</v>
      </c>
      <c r="N6" s="14" t="n">
        <v>22.35</v>
      </c>
      <c r="O6" s="7" t="n">
        <v>1</v>
      </c>
      <c r="P6" s="7" t="n">
        <v>5</v>
      </c>
    </row>
    <row r="7">
      <c r="A7" s="7" t="inlineStr">
        <is>
          <t>Street Light Maintenance</t>
        </is>
      </c>
      <c r="B7" s="7" t="inlineStr">
        <is>
          <t>TSW</t>
        </is>
      </c>
      <c r="C7" s="8" t="n">
        <v>13665</v>
      </c>
      <c r="D7" s="8" t="n">
        <v>7490</v>
      </c>
      <c r="E7" s="11" t="n">
        <v>45.3</v>
      </c>
      <c r="F7" s="14" t="n">
        <v>16.8</v>
      </c>
      <c r="G7" s="8" t="n">
        <v>467</v>
      </c>
      <c r="H7" s="9" t="n">
        <v>1358.6</v>
      </c>
      <c r="I7" s="9" t="n">
        <v>599.9</v>
      </c>
      <c r="J7" s="8" t="n">
        <v>12748</v>
      </c>
      <c r="K7" s="8" t="n">
        <v>12328</v>
      </c>
      <c r="L7" s="8" t="n">
        <v>7758</v>
      </c>
      <c r="M7" s="11" t="n">
        <v>90.2</v>
      </c>
      <c r="N7" s="14" t="n">
        <v>19.91</v>
      </c>
      <c r="O7" s="7" t="n">
        <v>2</v>
      </c>
      <c r="P7" s="7" t="n">
        <v>8</v>
      </c>
    </row>
    <row r="8">
      <c r="A8" s="7" t="inlineStr">
        <is>
          <t>ROW Maintenance</t>
        </is>
      </c>
      <c r="B8" s="7" t="inlineStr">
        <is>
          <t>TSW</t>
        </is>
      </c>
      <c r="C8" s="8" t="n">
        <v>10245</v>
      </c>
      <c r="D8" s="8" t="n">
        <v>7847</v>
      </c>
      <c r="E8" s="11" t="n">
        <v>23.8</v>
      </c>
      <c r="F8" s="14" t="n">
        <v>12.59</v>
      </c>
      <c r="G8" s="8" t="n">
        <v>450</v>
      </c>
      <c r="H8" s="8" t="n">
        <v>1312</v>
      </c>
      <c r="I8" s="9" t="n">
        <v>575.1</v>
      </c>
      <c r="J8" s="8" t="n">
        <v>9351</v>
      </c>
      <c r="K8" s="8" t="n">
        <v>8782</v>
      </c>
      <c r="L8" s="8" t="n">
        <v>5911</v>
      </c>
      <c r="M8" s="11" t="n">
        <v>85.7</v>
      </c>
      <c r="N8" s="14" t="n">
        <v>14.18</v>
      </c>
      <c r="O8" s="7" t="n">
        <v>3</v>
      </c>
      <c r="P8" s="7" t="n">
        <v>9</v>
      </c>
    </row>
    <row r="9">
      <c r="A9" s="7" t="inlineStr">
        <is>
          <t>Pavement Maintenance</t>
        </is>
      </c>
      <c r="B9" s="7" t="inlineStr">
        <is>
          <t>TSW</t>
        </is>
      </c>
      <c r="C9" s="8" t="n">
        <v>5590</v>
      </c>
      <c r="D9" s="8" t="n">
        <v>4398</v>
      </c>
      <c r="E9" s="11" t="n">
        <v>21.7</v>
      </c>
      <c r="F9" s="14" t="n">
        <v>6.87</v>
      </c>
      <c r="G9" s="9" t="n">
        <v>1295.5</v>
      </c>
      <c r="H9" s="9" t="n">
        <v>2710.1</v>
      </c>
      <c r="I9" s="9" t="n">
        <v>1363.4</v>
      </c>
      <c r="J9" s="8" t="n">
        <v>5428</v>
      </c>
      <c r="K9" s="8" t="n">
        <v>5351</v>
      </c>
      <c r="L9" s="8" t="n">
        <v>4689</v>
      </c>
      <c r="M9" s="11" t="n">
        <v>95.7</v>
      </c>
      <c r="N9" s="14" t="n">
        <v>8.640000000000001</v>
      </c>
      <c r="O9" s="7" t="n">
        <v>4</v>
      </c>
      <c r="P9" s="7" t="n">
        <v>2</v>
      </c>
    </row>
    <row r="10">
      <c r="A10" s="7" t="inlineStr">
        <is>
          <t>Parking - 72-Hours</t>
        </is>
      </c>
      <c r="B10" s="7" t="inlineStr">
        <is>
          <t>Parking</t>
        </is>
      </c>
      <c r="C10" s="8" t="n">
        <v>4694</v>
      </c>
      <c r="D10" s="8" t="n">
        <v>3828</v>
      </c>
      <c r="E10" s="11" t="n">
        <v>24.7</v>
      </c>
      <c r="F10" s="14" t="n">
        <v>5.77</v>
      </c>
      <c r="G10" s="8" t="n">
        <v>21</v>
      </c>
      <c r="H10" s="8" t="n">
        <v>140</v>
      </c>
      <c r="I10" s="9" t="n">
        <v>54.8</v>
      </c>
      <c r="J10" s="8" t="n">
        <v>998</v>
      </c>
      <c r="K10" s="8" t="n">
        <v>684</v>
      </c>
      <c r="L10" s="8" t="n">
        <v>131</v>
      </c>
      <c r="M10" s="11" t="n">
        <v>14.6</v>
      </c>
      <c r="N10" s="14" t="n">
        <v>1.1</v>
      </c>
      <c r="O10" s="7" t="n">
        <v>5</v>
      </c>
      <c r="P10" s="7" t="n">
        <v>36</v>
      </c>
    </row>
    <row r="11">
      <c r="A11" s="7" t="inlineStr">
        <is>
          <t>Parks Issue</t>
        </is>
      </c>
      <c r="B11" s="7" t="inlineStr">
        <is>
          <t>Parks &amp; Recreation</t>
        </is>
      </c>
      <c r="C11" s="8" t="n">
        <v>4030</v>
      </c>
      <c r="D11" s="8" t="n">
        <v>3103</v>
      </c>
      <c r="E11" s="11" t="n">
        <v>26.3</v>
      </c>
      <c r="F11" s="14" t="n">
        <v>4.95</v>
      </c>
      <c r="G11" s="8" t="n">
        <v>203</v>
      </c>
      <c r="H11" s="9" t="n">
        <v>1133.1</v>
      </c>
      <c r="I11" s="9" t="n">
        <v>405.3</v>
      </c>
      <c r="J11" s="8" t="n">
        <v>2948</v>
      </c>
      <c r="K11" s="8" t="n">
        <v>2631</v>
      </c>
      <c r="L11" s="8" t="n">
        <v>1580</v>
      </c>
      <c r="M11" s="11" t="n">
        <v>65.3</v>
      </c>
      <c r="N11" s="14" t="n">
        <v>4.25</v>
      </c>
      <c r="O11" s="7" t="n">
        <v>6</v>
      </c>
      <c r="P11" s="7" t="n">
        <v>13</v>
      </c>
    </row>
    <row r="12">
      <c r="A12" s="7" t="inlineStr">
        <is>
          <t>Graffiti - Code Enforcement</t>
        </is>
      </c>
      <c r="B12" s="7" t="inlineStr">
        <is>
          <t>TSW ROW</t>
        </is>
      </c>
      <c r="C12" s="8" t="n">
        <v>3774</v>
      </c>
      <c r="D12" s="8" t="n">
        <v>2516</v>
      </c>
      <c r="E12" s="11" t="n">
        <v>34.5</v>
      </c>
      <c r="F12" s="14" t="n">
        <v>4.64</v>
      </c>
      <c r="G12" s="8" t="n">
        <v>195</v>
      </c>
      <c r="H12" s="8" t="n">
        <v>716</v>
      </c>
      <c r="I12" s="9" t="n">
        <v>296.5</v>
      </c>
      <c r="J12" s="8" t="n">
        <v>2927</v>
      </c>
      <c r="K12" s="8" t="n">
        <v>2611</v>
      </c>
      <c r="L12" s="8" t="n">
        <v>1244</v>
      </c>
      <c r="M12" s="11" t="n">
        <v>69.2</v>
      </c>
      <c r="N12" s="14" t="n">
        <v>4.22</v>
      </c>
      <c r="O12" s="7" t="n">
        <v>7</v>
      </c>
      <c r="P12" s="7" t="n">
        <v>16</v>
      </c>
    </row>
    <row r="13">
      <c r="A13" s="7" t="inlineStr">
        <is>
          <t>Vegetation Encroachment</t>
        </is>
      </c>
      <c r="B13" s="7" t="inlineStr">
        <is>
          <t>TSW ROW</t>
        </is>
      </c>
      <c r="C13" s="8" t="n">
        <v>2910</v>
      </c>
      <c r="D13" s="8" t="n">
        <v>2411</v>
      </c>
      <c r="E13" s="11" t="n">
        <v>18.9</v>
      </c>
      <c r="F13" s="14" t="n">
        <v>3.58</v>
      </c>
      <c r="G13" s="8" t="n">
        <v>239</v>
      </c>
      <c r="H13" s="9" t="n">
        <v>818.2999999999997</v>
      </c>
      <c r="I13" s="9" t="n">
        <v>351</v>
      </c>
      <c r="J13" s="8" t="n">
        <v>2254</v>
      </c>
      <c r="K13" s="8" t="n">
        <v>2034</v>
      </c>
      <c r="L13" s="8" t="n">
        <v>1083</v>
      </c>
      <c r="M13" s="11" t="n">
        <v>69.90000000000001</v>
      </c>
      <c r="N13" s="14" t="n">
        <v>3.28</v>
      </c>
      <c r="O13" s="7" t="n">
        <v>8</v>
      </c>
      <c r="P13" s="7" t="n">
        <v>11</v>
      </c>
    </row>
    <row r="14">
      <c r="A14" s="7" t="inlineStr">
        <is>
          <t>Stormwater</t>
        </is>
      </c>
      <c r="B14" s="7" t="inlineStr">
        <is>
          <t>TSW</t>
        </is>
      </c>
      <c r="C14" s="8" t="n">
        <v>2337</v>
      </c>
      <c r="D14" s="8" t="n">
        <v>1940</v>
      </c>
      <c r="E14" s="11" t="n">
        <v>18.2</v>
      </c>
      <c r="F14" s="14" t="n">
        <v>2.87</v>
      </c>
      <c r="G14" s="8" t="n">
        <v>874</v>
      </c>
      <c r="H14" s="9" t="n">
        <v>2141</v>
      </c>
      <c r="I14" s="9" t="n">
        <v>992.2</v>
      </c>
      <c r="J14" s="8" t="n">
        <v>2144</v>
      </c>
      <c r="K14" s="8" t="n">
        <v>2087</v>
      </c>
      <c r="L14" s="8" t="n">
        <v>1698</v>
      </c>
      <c r="M14" s="11" t="n">
        <v>89.3</v>
      </c>
      <c r="N14" s="14" t="n">
        <v>3.37</v>
      </c>
      <c r="O14" s="7" t="n">
        <v>9</v>
      </c>
      <c r="P14" s="7" t="n">
        <v>6</v>
      </c>
    </row>
    <row r="15">
      <c r="A15" s="7" t="inlineStr">
        <is>
          <t>Encampment</t>
        </is>
      </c>
      <c r="B15" s="7" t="inlineStr">
        <is>
          <t>Neighborhood Policing</t>
        </is>
      </c>
      <c r="C15" s="8" t="n">
        <v>2243</v>
      </c>
      <c r="D15" s="8" t="n">
        <v>1590</v>
      </c>
      <c r="E15" s="11" t="n">
        <v>38.5</v>
      </c>
      <c r="F15" s="14" t="n">
        <v>2.76</v>
      </c>
      <c r="G15" s="8" t="n">
        <v>15</v>
      </c>
      <c r="H15" s="8" t="n">
        <v>1006</v>
      </c>
      <c r="I15" s="9" t="n">
        <v>240.1</v>
      </c>
      <c r="J15" s="8" t="n">
        <v>683</v>
      </c>
      <c r="K15" s="8" t="n">
        <v>645</v>
      </c>
      <c r="L15" s="8" t="n">
        <v>512</v>
      </c>
      <c r="M15" s="11" t="n">
        <v>28.8</v>
      </c>
      <c r="N15" s="14" t="n">
        <v>1.04</v>
      </c>
      <c r="O15" s="7" t="n">
        <v>10</v>
      </c>
      <c r="P15" s="7" t="n">
        <v>37</v>
      </c>
    </row>
    <row r="16">
      <c r="A16" s="7" t="inlineStr">
        <is>
          <t>Traffic Engineering</t>
        </is>
      </c>
      <c r="B16" s="7" t="inlineStr">
        <is>
          <t>Traffic Engineering</t>
        </is>
      </c>
      <c r="C16" s="8" t="n">
        <v>1784</v>
      </c>
      <c r="D16" s="8" t="n">
        <v>1704</v>
      </c>
      <c r="E16" s="11" t="n">
        <v>4.8</v>
      </c>
      <c r="F16" s="14" t="n">
        <v>2.19</v>
      </c>
      <c r="G16" s="8" t="n">
        <v>201</v>
      </c>
      <c r="H16" s="8" t="n">
        <v>1181</v>
      </c>
      <c r="I16" s="9" t="n">
        <v>429.5</v>
      </c>
      <c r="J16" s="8" t="n">
        <v>1428</v>
      </c>
      <c r="K16" s="8" t="n">
        <v>1257</v>
      </c>
      <c r="L16" s="8" t="n">
        <v>631</v>
      </c>
      <c r="M16" s="11" t="n">
        <v>70.5</v>
      </c>
      <c r="N16" s="14" t="n">
        <v>2.03</v>
      </c>
      <c r="O16" s="7" t="n">
        <v>11</v>
      </c>
      <c r="P16" s="7" t="n">
        <v>14</v>
      </c>
    </row>
    <row r="17">
      <c r="A17" s="7" t="inlineStr">
        <is>
          <t>Building and Land Use Enforcement</t>
        </is>
      </c>
      <c r="B17" s="7" t="inlineStr">
        <is>
          <t>DSD</t>
        </is>
      </c>
      <c r="C17" s="8" t="n">
        <v>1612</v>
      </c>
      <c r="D17" s="8" t="n">
        <v>1407</v>
      </c>
      <c r="E17" s="11" t="n">
        <v>14.6</v>
      </c>
      <c r="F17" s="14" t="n">
        <v>1.98</v>
      </c>
      <c r="G17" s="8" t="n">
        <v>186</v>
      </c>
      <c r="H17" s="8" t="n">
        <v>473</v>
      </c>
      <c r="I17" s="9" t="n">
        <v>234</v>
      </c>
      <c r="J17" s="8" t="n">
        <v>1375</v>
      </c>
      <c r="K17" s="8" t="n">
        <v>1248</v>
      </c>
      <c r="L17" s="8" t="n">
        <v>308</v>
      </c>
      <c r="M17" s="11" t="n">
        <v>77.40000000000001</v>
      </c>
      <c r="N17" s="14" t="n">
        <v>2.02</v>
      </c>
      <c r="O17" s="7" t="n">
        <v>12</v>
      </c>
      <c r="P17" s="7" t="n">
        <v>19</v>
      </c>
    </row>
    <row r="18">
      <c r="A18" s="7" t="inlineStr">
        <is>
          <t>STRO Violation</t>
        </is>
      </c>
      <c r="B18" s="7" t="inlineStr">
        <is>
          <t>DSD</t>
        </is>
      </c>
      <c r="C18" s="8" t="n">
        <v>1378</v>
      </c>
      <c r="D18" s="8" t="n">
        <v>1064</v>
      </c>
      <c r="E18" s="11" t="n">
        <v>22.9</v>
      </c>
      <c r="F18" s="14" t="n">
        <v>1.69</v>
      </c>
      <c r="G18" s="8" t="n">
        <v>139</v>
      </c>
      <c r="H18" s="8" t="n">
        <v>564</v>
      </c>
      <c r="I18" s="9" t="n">
        <v>222.2</v>
      </c>
      <c r="J18" s="8" t="n">
        <v>944</v>
      </c>
      <c r="K18" s="8" t="n">
        <v>760</v>
      </c>
      <c r="L18" s="8" t="n">
        <v>257</v>
      </c>
      <c r="M18" s="11" t="n">
        <v>55.2</v>
      </c>
      <c r="N18" s="14" t="n">
        <v>1.23</v>
      </c>
      <c r="O18" s="7" t="n">
        <v>13</v>
      </c>
      <c r="P18" s="7" t="n">
        <v>25</v>
      </c>
    </row>
    <row r="19">
      <c r="A19" s="7" t="inlineStr">
        <is>
          <t>Tree Maintenance</t>
        </is>
      </c>
      <c r="B19" s="7" t="inlineStr">
        <is>
          <t>TSW</t>
        </is>
      </c>
      <c r="C19" s="8" t="n">
        <v>1289</v>
      </c>
      <c r="D19" s="8" t="n">
        <v>1126</v>
      </c>
      <c r="E19" s="11" t="n">
        <v>15.6</v>
      </c>
      <c r="F19" s="14" t="n">
        <v>1.58</v>
      </c>
      <c r="G19" s="8" t="n">
        <v>158</v>
      </c>
      <c r="H19" s="9" t="n">
        <v>821.6000000000001</v>
      </c>
      <c r="I19" s="9" t="n">
        <v>331.2</v>
      </c>
      <c r="J19" s="8" t="n">
        <v>838</v>
      </c>
      <c r="K19" s="8" t="n">
        <v>772</v>
      </c>
      <c r="L19" s="8" t="n">
        <v>408</v>
      </c>
      <c r="M19" s="11" t="n">
        <v>59.9</v>
      </c>
      <c r="N19" s="14" t="n">
        <v>1.25</v>
      </c>
      <c r="O19" s="7" t="n">
        <v>14</v>
      </c>
      <c r="P19" s="7" t="n">
        <v>22</v>
      </c>
    </row>
    <row r="20">
      <c r="A20" s="7" t="inlineStr">
        <is>
          <t>Graffiti - Private</t>
        </is>
      </c>
      <c r="B20" s="7" t="inlineStr">
        <is>
          <t>TSW</t>
        </is>
      </c>
      <c r="C20" s="8" t="n">
        <v>1109</v>
      </c>
      <c r="D20" s="8" t="n">
        <v>998</v>
      </c>
      <c r="E20" s="11" t="n">
        <v>16.9</v>
      </c>
      <c r="F20" s="14" t="n">
        <v>1.36</v>
      </c>
      <c r="G20" s="8" t="n">
        <v>121</v>
      </c>
      <c r="H20" s="9" t="n">
        <v>511.6000000000003</v>
      </c>
      <c r="I20" s="9" t="n">
        <v>200.7</v>
      </c>
      <c r="J20" s="8" t="n">
        <v>805</v>
      </c>
      <c r="K20" s="8" t="n">
        <v>685</v>
      </c>
      <c r="L20" s="8" t="n">
        <v>168</v>
      </c>
      <c r="M20" s="11" t="n">
        <v>61.8</v>
      </c>
      <c r="N20" s="14" t="n">
        <v>1.11</v>
      </c>
      <c r="O20" s="7" t="n">
        <v>15</v>
      </c>
      <c r="P20" s="7" t="n">
        <v>27</v>
      </c>
    </row>
    <row r="21">
      <c r="A21" s="7" t="inlineStr">
        <is>
          <t>Development Services - Code Enforcement</t>
        </is>
      </c>
      <c r="B21" s="7" t="inlineStr">
        <is>
          <t>DSD</t>
        </is>
      </c>
      <c r="C21" s="8" t="n">
        <v>1101</v>
      </c>
      <c r="D21" s="8" t="n">
        <v>1029</v>
      </c>
      <c r="E21" s="11" t="n">
        <v>11.1</v>
      </c>
      <c r="F21" s="14" t="n">
        <v>1.35</v>
      </c>
      <c r="G21" s="8" t="n">
        <v>488</v>
      </c>
      <c r="H21" s="8" t="n">
        <v>2378</v>
      </c>
      <c r="I21" s="9" t="n">
        <v>974.5</v>
      </c>
      <c r="J21" s="8" t="n">
        <v>1101</v>
      </c>
      <c r="K21" s="8" t="n">
        <v>1101</v>
      </c>
      <c r="L21" s="8" t="n">
        <v>891</v>
      </c>
      <c r="M21" s="11" t="n">
        <v>100</v>
      </c>
      <c r="N21" s="14" t="n">
        <v>1.78</v>
      </c>
      <c r="O21" s="7" t="n">
        <v>16</v>
      </c>
      <c r="P21" s="7" t="n">
        <v>7</v>
      </c>
    </row>
    <row r="22">
      <c r="A22" s="7" t="inlineStr">
        <is>
          <t>Environmental Services Code Compliance</t>
        </is>
      </c>
      <c r="B22" s="7" t="inlineStr">
        <is>
          <t>ESD Complaint/Report</t>
        </is>
      </c>
      <c r="C22" s="8" t="n">
        <v>1079</v>
      </c>
      <c r="D22" s="8" t="n">
        <v>1006</v>
      </c>
      <c r="E22" s="11" t="n">
        <v>11.7</v>
      </c>
      <c r="F22" s="14" t="n">
        <v>1.33</v>
      </c>
      <c r="G22" s="8" t="n">
        <v>155</v>
      </c>
      <c r="H22" s="9" t="n">
        <v>537.8000000000004</v>
      </c>
      <c r="I22" s="9" t="n">
        <v>238.1</v>
      </c>
      <c r="J22" s="8" t="n">
        <v>724</v>
      </c>
      <c r="K22" s="8" t="n">
        <v>668</v>
      </c>
      <c r="L22" s="8" t="n">
        <v>176</v>
      </c>
      <c r="M22" s="11" t="n">
        <v>61.9</v>
      </c>
      <c r="N22" s="14" t="n">
        <v>1.08</v>
      </c>
      <c r="O22" s="7" t="n">
        <v>17</v>
      </c>
      <c r="P22" s="7" t="n">
        <v>23</v>
      </c>
    </row>
    <row r="23">
      <c r="A23" s="7" t="inlineStr">
        <is>
          <t>Graffiti - Public</t>
        </is>
      </c>
      <c r="B23" s="7" t="inlineStr">
        <is>
          <t>TSW</t>
        </is>
      </c>
      <c r="C23" s="8" t="n">
        <v>1045</v>
      </c>
      <c r="D23" s="8" t="n">
        <v>985</v>
      </c>
      <c r="E23" s="11" t="n">
        <v>9.9</v>
      </c>
      <c r="F23" s="14" t="n">
        <v>1.28</v>
      </c>
      <c r="G23" s="8" t="n">
        <v>89</v>
      </c>
      <c r="H23" s="9" t="n">
        <v>763.6000000000006</v>
      </c>
      <c r="I23" s="9" t="n">
        <v>240.9</v>
      </c>
      <c r="J23" s="8" t="n">
        <v>636</v>
      </c>
      <c r="K23" s="8" t="n">
        <v>521</v>
      </c>
      <c r="L23" s="8" t="n">
        <v>170</v>
      </c>
      <c r="M23" s="11" t="n">
        <v>49.9</v>
      </c>
      <c r="N23" s="14" t="n">
        <v>0.84</v>
      </c>
      <c r="O23" s="7" t="n">
        <v>18</v>
      </c>
      <c r="P23" s="7" t="n">
        <v>29</v>
      </c>
    </row>
    <row r="24">
      <c r="A24" s="7" t="inlineStr">
        <is>
          <t>Illegal Dumping</t>
        </is>
      </c>
      <c r="B24" s="7" t="inlineStr">
        <is>
          <t>ESD Complaint/Report</t>
        </is>
      </c>
      <c r="C24" s="8" t="n">
        <v>768</v>
      </c>
      <c r="D24" s="8" t="n">
        <v>619</v>
      </c>
      <c r="E24" s="11" t="n">
        <v>29</v>
      </c>
      <c r="F24" s="14" t="n">
        <v>0.9399999999999999</v>
      </c>
      <c r="G24" s="9" t="n">
        <v>41.5</v>
      </c>
      <c r="H24" s="8" t="n">
        <v>610</v>
      </c>
      <c r="I24" s="9" t="n">
        <v>190.6</v>
      </c>
      <c r="J24" s="8" t="n">
        <v>350</v>
      </c>
      <c r="K24" s="8" t="n">
        <v>315</v>
      </c>
      <c r="L24" s="8" t="n">
        <v>125</v>
      </c>
      <c r="M24" s="11" t="n">
        <v>41</v>
      </c>
      <c r="N24" s="14" t="n">
        <v>0.51</v>
      </c>
      <c r="O24" s="7" t="n">
        <v>19</v>
      </c>
      <c r="P24" s="7" t="n">
        <v>32</v>
      </c>
    </row>
    <row r="25">
      <c r="A25" s="7" t="inlineStr">
        <is>
          <t>(Unclassified)</t>
        </is>
      </c>
      <c r="B25" s="7" t="inlineStr">
        <is>
          <t>ESD Complaint/Report</t>
        </is>
      </c>
      <c r="C25" s="8" t="n">
        <v>741</v>
      </c>
      <c r="D25" s="8" t="n">
        <v>741</v>
      </c>
      <c r="E25" s="11" t="n">
        <v>0</v>
      </c>
      <c r="F25" s="14" t="n">
        <v>0.91</v>
      </c>
      <c r="G25" s="8" t="n">
        <v>184</v>
      </c>
      <c r="H25" s="8" t="n">
        <v>185</v>
      </c>
      <c r="I25" s="9" t="n">
        <v>169</v>
      </c>
      <c r="J25" s="8" t="n">
        <v>695</v>
      </c>
      <c r="K25" s="8" t="n">
        <v>677</v>
      </c>
      <c r="L25" s="8" t="n">
        <v>0</v>
      </c>
      <c r="M25" s="11" t="n">
        <v>91.40000000000001</v>
      </c>
      <c r="N25" s="14" t="n">
        <v>1.09</v>
      </c>
      <c r="O25" s="7" t="n">
        <v>20</v>
      </c>
      <c r="P25" s="7" t="n">
        <v>21</v>
      </c>
    </row>
    <row r="26">
      <c r="A26" s="7" t="inlineStr">
        <is>
          <t>Traffic Sign Maintenance</t>
        </is>
      </c>
      <c r="B26" s="7" t="inlineStr">
        <is>
          <t>TSW</t>
        </is>
      </c>
      <c r="C26" s="8" t="n">
        <v>706</v>
      </c>
      <c r="D26" s="8" t="n">
        <v>506</v>
      </c>
      <c r="E26" s="11" t="n">
        <v>42.8</v>
      </c>
      <c r="F26" s="14" t="n">
        <v>0.87</v>
      </c>
      <c r="G26" s="9" t="n">
        <v>1146.5</v>
      </c>
      <c r="H26" s="9" t="n">
        <v>1453.5</v>
      </c>
      <c r="I26" s="9" t="n">
        <v>1159.4</v>
      </c>
      <c r="J26" s="8" t="n">
        <v>706</v>
      </c>
      <c r="K26" s="8" t="n">
        <v>706</v>
      </c>
      <c r="L26" s="8" t="n">
        <v>705</v>
      </c>
      <c r="M26" s="11" t="n">
        <v>100</v>
      </c>
      <c r="N26" s="14" t="n">
        <v>1.14</v>
      </c>
      <c r="O26" s="7" t="n">
        <v>21</v>
      </c>
      <c r="P26" s="7" t="n">
        <v>3</v>
      </c>
    </row>
    <row r="27">
      <c r="A27" s="7" t="inlineStr">
        <is>
          <t>Other</t>
        </is>
      </c>
      <c r="B27" s="7" t="inlineStr">
        <is>
          <t>TSW</t>
        </is>
      </c>
      <c r="C27" s="8" t="n">
        <v>676</v>
      </c>
      <c r="D27" s="8" t="n">
        <v>593</v>
      </c>
      <c r="E27" s="11" t="n">
        <v>41.6</v>
      </c>
      <c r="F27" s="14" t="n">
        <v>0.83</v>
      </c>
      <c r="G27" s="8" t="n">
        <v>208</v>
      </c>
      <c r="H27" s="9" t="n">
        <v>1082.5</v>
      </c>
      <c r="I27" s="9" t="n">
        <v>434.5</v>
      </c>
      <c r="J27" s="8" t="n">
        <v>468</v>
      </c>
      <c r="K27" s="8" t="n">
        <v>416</v>
      </c>
      <c r="L27" s="8" t="n">
        <v>305</v>
      </c>
      <c r="M27" s="11" t="n">
        <v>61.5</v>
      </c>
      <c r="N27" s="14" t="n">
        <v>0.67</v>
      </c>
      <c r="O27" s="7" t="n">
        <v>22</v>
      </c>
      <c r="P27" s="7" t="n">
        <v>12</v>
      </c>
    </row>
    <row r="28">
      <c r="A28" s="7" t="inlineStr">
        <is>
          <t>Street Sweeping</t>
        </is>
      </c>
      <c r="B28" s="7" t="inlineStr">
        <is>
          <t>TSW</t>
        </is>
      </c>
      <c r="C28" s="8" t="n">
        <v>647</v>
      </c>
      <c r="D28" s="8" t="n">
        <v>449</v>
      </c>
      <c r="E28" s="11" t="n">
        <v>33.2</v>
      </c>
      <c r="F28" s="14" t="n">
        <v>0.8</v>
      </c>
      <c r="G28" s="8" t="n">
        <v>279</v>
      </c>
      <c r="H28" s="9" t="n">
        <v>1079.2</v>
      </c>
      <c r="I28" s="9" t="n">
        <v>422.4</v>
      </c>
      <c r="J28" s="8" t="n">
        <v>504</v>
      </c>
      <c r="K28" s="8" t="n">
        <v>477</v>
      </c>
      <c r="L28" s="8" t="n">
        <v>253</v>
      </c>
      <c r="M28" s="11" t="n">
        <v>73.7</v>
      </c>
      <c r="N28" s="14" t="n">
        <v>0.77</v>
      </c>
      <c r="O28" s="7" t="n">
        <v>23</v>
      </c>
      <c r="P28" s="7" t="n">
        <v>10</v>
      </c>
    </row>
    <row r="29">
      <c r="A29" s="7" t="inlineStr">
        <is>
          <t>Stormwater Code Enforcement</t>
        </is>
      </c>
      <c r="B29" s="7" t="inlineStr">
        <is>
          <t>Storm Water Code Enforcement</t>
        </is>
      </c>
      <c r="C29" s="8" t="n">
        <v>608</v>
      </c>
      <c r="D29" s="8" t="n">
        <v>530</v>
      </c>
      <c r="E29" s="11" t="n">
        <v>17.8</v>
      </c>
      <c r="F29" s="14" t="n">
        <v>0.75</v>
      </c>
      <c r="G29" s="8" t="n">
        <v>149</v>
      </c>
      <c r="H29" s="9" t="n">
        <v>538.5000000000003</v>
      </c>
      <c r="I29" s="9" t="n">
        <v>241.1</v>
      </c>
      <c r="J29" s="8" t="n">
        <v>431</v>
      </c>
      <c r="K29" s="8" t="n">
        <v>383</v>
      </c>
      <c r="L29" s="8" t="n">
        <v>127</v>
      </c>
      <c r="M29" s="11" t="n">
        <v>63</v>
      </c>
      <c r="N29" s="14" t="n">
        <v>0.62</v>
      </c>
      <c r="O29" s="7" t="n">
        <v>24</v>
      </c>
      <c r="P29" s="7" t="n">
        <v>24</v>
      </c>
    </row>
    <row r="30">
      <c r="A30" s="7" t="inlineStr">
        <is>
          <t>Missed Collection</t>
        </is>
      </c>
      <c r="B30" s="7" t="inlineStr">
        <is>
          <t>ESD Complaint/Report</t>
        </is>
      </c>
      <c r="C30" s="8" t="n">
        <v>465</v>
      </c>
      <c r="D30" s="8" t="n">
        <v>442</v>
      </c>
      <c r="E30" s="11" t="n">
        <v>6</v>
      </c>
      <c r="F30" s="14" t="n">
        <v>0.57</v>
      </c>
      <c r="G30" s="8" t="n">
        <v>3</v>
      </c>
      <c r="H30" s="8" t="n">
        <v>6</v>
      </c>
      <c r="I30" s="9" t="n">
        <v>31.5</v>
      </c>
      <c r="J30" s="8" t="n">
        <v>18</v>
      </c>
      <c r="K30" s="8" t="n">
        <v>17</v>
      </c>
      <c r="L30" s="8" t="n">
        <v>14</v>
      </c>
      <c r="M30" s="11" t="n">
        <v>3.7</v>
      </c>
      <c r="N30" s="14" t="n">
        <v>0.03</v>
      </c>
      <c r="O30" s="7" t="n">
        <v>25</v>
      </c>
      <c r="P30" s="7" t="n">
        <v>40</v>
      </c>
    </row>
    <row r="31">
      <c r="A31" s="7" t="inlineStr">
        <is>
          <t>Oversized Vehicle</t>
        </is>
      </c>
      <c r="B31" s="7" t="inlineStr">
        <is>
          <t>Neighborhood Policing</t>
        </is>
      </c>
      <c r="C31" s="8" t="n">
        <v>370</v>
      </c>
      <c r="D31" s="8" t="n">
        <v>369</v>
      </c>
      <c r="E31" s="11" t="n">
        <v>0.8</v>
      </c>
      <c r="F31" s="14" t="n">
        <v>0.45</v>
      </c>
      <c r="G31" s="8" t="n">
        <v>14</v>
      </c>
      <c r="H31" s="8" t="n">
        <v>68</v>
      </c>
      <c r="I31" s="9" t="n">
        <v>25.9</v>
      </c>
      <c r="J31" s="8" t="n">
        <v>52</v>
      </c>
      <c r="K31" s="8" t="n">
        <v>15</v>
      </c>
      <c r="L31" s="8" t="n">
        <v>0</v>
      </c>
      <c r="M31" s="11" t="n">
        <v>4.1</v>
      </c>
      <c r="N31" s="14" t="n">
        <v>0.02</v>
      </c>
      <c r="O31" s="7" t="n">
        <v>26</v>
      </c>
      <c r="P31" s="7" t="n">
        <v>38</v>
      </c>
    </row>
    <row r="32">
      <c r="A32" s="7" t="inlineStr">
        <is>
          <t>Parking Violation</t>
        </is>
      </c>
      <c r="B32" s="7" t="inlineStr">
        <is>
          <t>Parking</t>
        </is>
      </c>
      <c r="C32" s="8" t="n">
        <v>334</v>
      </c>
      <c r="D32" s="8" t="n">
        <v>247</v>
      </c>
      <c r="E32" s="11" t="n">
        <v>29.9</v>
      </c>
      <c r="F32" s="14" t="n">
        <v>0.41</v>
      </c>
      <c r="G32" s="9" t="n">
        <v>35.5</v>
      </c>
      <c r="H32" s="9" t="n">
        <v>171.7</v>
      </c>
      <c r="I32" s="9" t="n">
        <v>69.09999999999999</v>
      </c>
      <c r="J32" s="8" t="n">
        <v>121</v>
      </c>
      <c r="K32" s="8" t="n">
        <v>90</v>
      </c>
      <c r="L32" s="8" t="n">
        <v>5</v>
      </c>
      <c r="M32" s="11" t="n">
        <v>26.9</v>
      </c>
      <c r="N32" s="14" t="n">
        <v>0.15</v>
      </c>
      <c r="O32" s="7" t="n">
        <v>27</v>
      </c>
      <c r="P32" s="7" t="n">
        <v>33</v>
      </c>
    </row>
    <row r="33">
      <c r="A33" s="7" t="inlineStr">
        <is>
          <t>Pothole</t>
        </is>
      </c>
      <c r="B33" s="7" t="inlineStr">
        <is>
          <t>TSW</t>
        </is>
      </c>
      <c r="C33" s="8" t="n">
        <v>332</v>
      </c>
      <c r="D33" s="8" t="n">
        <v>190</v>
      </c>
      <c r="E33" s="11" t="n">
        <v>57.8</v>
      </c>
      <c r="F33" s="14" t="n">
        <v>0.41</v>
      </c>
      <c r="G33" s="9" t="n">
        <v>133.5</v>
      </c>
      <c r="H33" s="9" t="n">
        <v>1257.1</v>
      </c>
      <c r="I33" s="9" t="n">
        <v>468.4</v>
      </c>
      <c r="J33" s="8" t="n">
        <v>189</v>
      </c>
      <c r="K33" s="8" t="n">
        <v>173</v>
      </c>
      <c r="L33" s="8" t="n">
        <v>135</v>
      </c>
      <c r="M33" s="11" t="n">
        <v>52.1</v>
      </c>
      <c r="N33" s="14" t="n">
        <v>0.28</v>
      </c>
      <c r="O33" s="7" t="n">
        <v>28</v>
      </c>
      <c r="P33" s="7" t="n">
        <v>26</v>
      </c>
    </row>
    <row r="34">
      <c r="A34" s="7" t="inlineStr">
        <is>
          <t>Traffic Signal Issue</t>
        </is>
      </c>
      <c r="B34" s="7" t="inlineStr">
        <is>
          <t>TSW</t>
        </is>
      </c>
      <c r="C34" s="8" t="n">
        <v>244</v>
      </c>
      <c r="D34" s="8" t="n">
        <v>218</v>
      </c>
      <c r="E34" s="11" t="n">
        <v>12.7</v>
      </c>
      <c r="F34" s="14" t="n">
        <v>0.3</v>
      </c>
      <c r="G34" s="8" t="n">
        <v>34</v>
      </c>
      <c r="H34" s="9" t="n">
        <v>766.3000000000002</v>
      </c>
      <c r="I34" s="9" t="n">
        <v>254.8</v>
      </c>
      <c r="J34" s="8" t="n">
        <v>108</v>
      </c>
      <c r="K34" s="8" t="n">
        <v>104</v>
      </c>
      <c r="L34" s="8" t="n">
        <v>65</v>
      </c>
      <c r="M34" s="11" t="n">
        <v>42.6</v>
      </c>
      <c r="N34" s="14" t="n">
        <v>0.17</v>
      </c>
      <c r="O34" s="7" t="n">
        <v>29</v>
      </c>
      <c r="P34" s="7" t="n">
        <v>35</v>
      </c>
    </row>
    <row r="35">
      <c r="A35" s="7" t="inlineStr">
        <is>
          <t>Waste on Private Property</t>
        </is>
      </c>
      <c r="B35" s="7" t="inlineStr">
        <is>
          <t>ESD Complaint/Report</t>
        </is>
      </c>
      <c r="C35" s="8" t="n">
        <v>232</v>
      </c>
      <c r="D35" s="8" t="n">
        <v>178</v>
      </c>
      <c r="E35" s="11" t="n">
        <v>41.4</v>
      </c>
      <c r="F35" s="14" t="n">
        <v>0.29</v>
      </c>
      <c r="G35" s="8" t="n">
        <v>92</v>
      </c>
      <c r="H35" s="9" t="n">
        <v>523.7</v>
      </c>
      <c r="I35" s="9" t="n">
        <v>173.9</v>
      </c>
      <c r="J35" s="8" t="n">
        <v>142</v>
      </c>
      <c r="K35" s="8" t="n">
        <v>121</v>
      </c>
      <c r="L35" s="8" t="n">
        <v>32</v>
      </c>
      <c r="M35" s="11" t="n">
        <v>52.2</v>
      </c>
      <c r="N35" s="14" t="n">
        <v>0.2</v>
      </c>
      <c r="O35" s="7" t="n">
        <v>30</v>
      </c>
      <c r="P35" s="7" t="n">
        <v>28</v>
      </c>
    </row>
    <row r="36">
      <c r="A36" s="7" t="inlineStr">
        <is>
          <t>Trash/Recycling Collection</t>
        </is>
      </c>
      <c r="B36" s="7" t="inlineStr">
        <is>
          <t>ESD Complaint/Report</t>
        </is>
      </c>
      <c r="C36" s="8" t="n">
        <v>212</v>
      </c>
      <c r="D36" s="8" t="n">
        <v>199</v>
      </c>
      <c r="E36" s="11" t="n">
        <v>8</v>
      </c>
      <c r="F36" s="14" t="n">
        <v>0.26</v>
      </c>
      <c r="G36" s="8" t="n">
        <v>193</v>
      </c>
      <c r="H36" s="9" t="n">
        <v>2304.1</v>
      </c>
      <c r="I36" s="9" t="n">
        <v>637.7</v>
      </c>
      <c r="J36" s="8" t="n">
        <v>162</v>
      </c>
      <c r="K36" s="8" t="n">
        <v>154</v>
      </c>
      <c r="L36" s="8" t="n">
        <v>80</v>
      </c>
      <c r="M36" s="11" t="n">
        <v>72.59999999999999</v>
      </c>
      <c r="N36" s="14" t="n">
        <v>0.25</v>
      </c>
      <c r="O36" s="7" t="n">
        <v>31</v>
      </c>
      <c r="P36" s="7" t="n">
        <v>17</v>
      </c>
    </row>
    <row r="37">
      <c r="A37" s="7" t="inlineStr">
        <is>
          <t>Dead Animal</t>
        </is>
      </c>
      <c r="B37" s="7" t="inlineStr">
        <is>
          <t>ESD Complaint/Report</t>
        </is>
      </c>
      <c r="C37" s="8" t="n">
        <v>154</v>
      </c>
      <c r="D37" s="8" t="n">
        <v>142</v>
      </c>
      <c r="E37" s="11" t="n">
        <v>8.4</v>
      </c>
      <c r="F37" s="14" t="n">
        <v>0.19</v>
      </c>
      <c r="G37" s="8" t="n">
        <v>69</v>
      </c>
      <c r="H37" s="9" t="n">
        <v>145.7</v>
      </c>
      <c r="I37" s="9" t="n">
        <v>71.90000000000001</v>
      </c>
      <c r="J37" s="8" t="n">
        <v>88</v>
      </c>
      <c r="K37" s="8" t="n">
        <v>50</v>
      </c>
      <c r="L37" s="8" t="n">
        <v>0</v>
      </c>
      <c r="M37" s="11" t="n">
        <v>32.5</v>
      </c>
      <c r="N37" s="14" t="n">
        <v>0.08</v>
      </c>
      <c r="O37" s="7" t="n">
        <v>32</v>
      </c>
      <c r="P37" s="7" t="n">
        <v>30</v>
      </c>
    </row>
    <row r="38">
      <c r="A38" s="7" t="inlineStr">
        <is>
          <t>Traffic Signal Timing</t>
        </is>
      </c>
      <c r="B38" s="7" t="inlineStr">
        <is>
          <t>TSW</t>
        </is>
      </c>
      <c r="C38" s="8" t="n">
        <v>120</v>
      </c>
      <c r="D38" s="8" t="n">
        <v>116</v>
      </c>
      <c r="E38" s="11" t="n">
        <v>5</v>
      </c>
      <c r="F38" s="14" t="n">
        <v>0.15</v>
      </c>
      <c r="G38" s="8" t="n">
        <v>35</v>
      </c>
      <c r="H38" s="9" t="n">
        <v>447.3000000000001</v>
      </c>
      <c r="I38" s="9" t="n">
        <v>133</v>
      </c>
      <c r="J38" s="8" t="n">
        <v>37</v>
      </c>
      <c r="K38" s="8" t="n">
        <v>30</v>
      </c>
      <c r="L38" s="8" t="n">
        <v>16</v>
      </c>
      <c r="M38" s="11" t="n">
        <v>25</v>
      </c>
      <c r="N38" s="14" t="n">
        <v>0.05</v>
      </c>
      <c r="O38" s="7" t="n">
        <v>33</v>
      </c>
      <c r="P38" s="7" t="n">
        <v>34</v>
      </c>
    </row>
    <row r="39">
      <c r="A39" s="7" t="inlineStr">
        <is>
          <t>Street Flooded</t>
        </is>
      </c>
      <c r="B39" s="7" t="inlineStr">
        <is>
          <t>TSW</t>
        </is>
      </c>
      <c r="C39" s="8" t="n">
        <v>90</v>
      </c>
      <c r="D39" s="8" t="n">
        <v>63</v>
      </c>
      <c r="E39" s="11" t="n">
        <v>55.6</v>
      </c>
      <c r="F39" s="14" t="n">
        <v>0.11</v>
      </c>
      <c r="G39" s="9" t="n">
        <v>1662.5</v>
      </c>
      <c r="H39" s="8" t="n">
        <v>2419</v>
      </c>
      <c r="I39" s="9" t="n">
        <v>1715.7</v>
      </c>
      <c r="J39" s="8" t="n">
        <v>90</v>
      </c>
      <c r="K39" s="8" t="n">
        <v>90</v>
      </c>
      <c r="L39" s="8" t="n">
        <v>90</v>
      </c>
      <c r="M39" s="11" t="n">
        <v>100</v>
      </c>
      <c r="N39" s="14" t="n">
        <v>0.15</v>
      </c>
      <c r="O39" s="7" t="n">
        <v>34</v>
      </c>
      <c r="P39" s="7" t="n">
        <v>1</v>
      </c>
    </row>
    <row r="40">
      <c r="A40" s="7" t="inlineStr">
        <is>
          <t>Right-of-Way Code Enforcement</t>
        </is>
      </c>
      <c r="B40" s="7" t="inlineStr">
        <is>
          <t>TSW ROW</t>
        </is>
      </c>
      <c r="C40" s="8" t="n">
        <v>64</v>
      </c>
      <c r="D40" s="8" t="n">
        <v>54</v>
      </c>
      <c r="E40" s="11" t="n">
        <v>15.6</v>
      </c>
      <c r="F40" s="14" t="n">
        <v>0.08</v>
      </c>
      <c r="G40" s="9" t="n">
        <v>47.5</v>
      </c>
      <c r="H40" s="9" t="n">
        <v>780.0000000000002</v>
      </c>
      <c r="I40" s="9" t="n">
        <v>229.9</v>
      </c>
      <c r="J40" s="8" t="n">
        <v>28</v>
      </c>
      <c r="K40" s="8" t="n">
        <v>24</v>
      </c>
      <c r="L40" s="8" t="n">
        <v>11</v>
      </c>
      <c r="M40" s="11" t="n">
        <v>37.5</v>
      </c>
      <c r="N40" s="14" t="n">
        <v>0.04</v>
      </c>
      <c r="O40" s="7" t="n">
        <v>35</v>
      </c>
      <c r="P40" s="7" t="n">
        <v>31</v>
      </c>
    </row>
    <row r="41">
      <c r="A41" s="7" t="inlineStr">
        <is>
          <t>Weed Cleanup</t>
        </is>
      </c>
      <c r="B41" s="7" t="inlineStr">
        <is>
          <t>TSW</t>
        </is>
      </c>
      <c r="C41" s="8" t="n">
        <v>58</v>
      </c>
      <c r="D41" s="8" t="n">
        <v>49</v>
      </c>
      <c r="E41" s="11" t="n">
        <v>36.2</v>
      </c>
      <c r="F41" s="14" t="n">
        <v>0.07000000000000001</v>
      </c>
      <c r="G41" s="9" t="n">
        <v>184.5</v>
      </c>
      <c r="H41" s="9" t="n">
        <v>1252.100000000001</v>
      </c>
      <c r="I41" s="9" t="n">
        <v>521.7</v>
      </c>
      <c r="J41" s="8" t="n">
        <v>43</v>
      </c>
      <c r="K41" s="8" t="n">
        <v>39</v>
      </c>
      <c r="L41" s="8" t="n">
        <v>23</v>
      </c>
      <c r="M41" s="11" t="n">
        <v>67.2</v>
      </c>
      <c r="N41" s="14" t="n">
        <v>0.06</v>
      </c>
      <c r="O41" s="7" t="n">
        <v>36</v>
      </c>
      <c r="P41" s="7" t="n">
        <v>20</v>
      </c>
    </row>
    <row r="42">
      <c r="A42" s="7" t="inlineStr">
        <is>
          <t>ESD Collections</t>
        </is>
      </c>
      <c r="B42" s="7" t="inlineStr">
        <is>
          <t>ESD Complaint/Report</t>
        </is>
      </c>
      <c r="C42" s="8" t="n">
        <v>36</v>
      </c>
      <c r="D42" s="8" t="n">
        <v>35</v>
      </c>
      <c r="E42" s="11" t="n">
        <v>2.8</v>
      </c>
      <c r="F42" s="14" t="n">
        <v>0.04</v>
      </c>
      <c r="G42" s="8" t="n">
        <v>200</v>
      </c>
      <c r="H42" s="8" t="n">
        <v>200</v>
      </c>
      <c r="I42" s="9" t="n">
        <v>195.1</v>
      </c>
      <c r="J42" s="8" t="n">
        <v>35</v>
      </c>
      <c r="K42" s="8" t="n">
        <v>35</v>
      </c>
      <c r="L42" s="8" t="n">
        <v>0</v>
      </c>
      <c r="M42" s="11" t="n">
        <v>97.2</v>
      </c>
      <c r="N42" s="14" t="n">
        <v>0.06</v>
      </c>
      <c r="O42" s="7" t="n">
        <v>37</v>
      </c>
      <c r="P42" s="7" t="n">
        <v>15</v>
      </c>
    </row>
    <row r="43">
      <c r="A43" s="7" t="inlineStr">
        <is>
          <t>EV Charger</t>
        </is>
      </c>
      <c r="B43" s="7" t="inlineStr">
        <is>
          <t>ESD Complaint/Report</t>
        </is>
      </c>
      <c r="C43" s="8" t="n">
        <v>1</v>
      </c>
      <c r="D43" s="8" t="n">
        <v>1</v>
      </c>
      <c r="E43" s="11" t="n">
        <v>0</v>
      </c>
      <c r="F43" s="14" t="n">
        <v>0</v>
      </c>
      <c r="G43" s="8" t="n">
        <v>192</v>
      </c>
      <c r="H43" s="8" t="n">
        <v>192</v>
      </c>
      <c r="I43" s="9" t="n">
        <v>192</v>
      </c>
      <c r="J43" s="8" t="n">
        <v>1</v>
      </c>
      <c r="K43" s="8" t="n">
        <v>1</v>
      </c>
      <c r="L43" s="8" t="n">
        <v>0</v>
      </c>
      <c r="M43" s="11" t="n">
        <v>100</v>
      </c>
      <c r="N43" s="14" t="n">
        <v>0</v>
      </c>
      <c r="O43" s="7" t="n">
        <v>38</v>
      </c>
      <c r="P43" s="7" t="n">
        <v>18</v>
      </c>
    </row>
    <row r="44">
      <c r="A44" s="7" t="inlineStr">
        <is>
          <t>Container Request</t>
        </is>
      </c>
      <c r="B44" s="7" t="inlineStr">
        <is>
          <t>ESD Complaint/Report</t>
        </is>
      </c>
      <c r="C44" s="8" t="n">
        <v>1</v>
      </c>
      <c r="D44" s="8" t="n">
        <v>1</v>
      </c>
      <c r="E44" s="11" t="n">
        <v>0</v>
      </c>
      <c r="F44" s="14" t="n">
        <v>0</v>
      </c>
      <c r="G44" s="8" t="n">
        <v>1141</v>
      </c>
      <c r="H44" s="8" t="n">
        <v>1141</v>
      </c>
      <c r="I44" s="9" t="n">
        <v>1141</v>
      </c>
      <c r="J44" s="8" t="n">
        <v>1</v>
      </c>
      <c r="K44" s="8" t="n">
        <v>1</v>
      </c>
      <c r="L44" s="8" t="n">
        <v>1</v>
      </c>
      <c r="M44" s="11" t="n">
        <v>100</v>
      </c>
      <c r="N44" s="14" t="n">
        <v>0</v>
      </c>
      <c r="O44" s="7" t="n">
        <v>38</v>
      </c>
      <c r="P44" s="7" t="n">
        <v>4</v>
      </c>
    </row>
    <row r="45">
      <c r="A45" s="7" t="inlineStr">
        <is>
          <t>Shared Mobility Device</t>
        </is>
      </c>
      <c r="B45" s="7" t="inlineStr">
        <is>
          <t>ESD Complaint/Report</t>
        </is>
      </c>
      <c r="C45" s="8" t="n">
        <v>1</v>
      </c>
      <c r="D45" s="8" t="n">
        <v>1</v>
      </c>
      <c r="E45" s="11" t="n">
        <v>0</v>
      </c>
      <c r="F45" s="14" t="n">
        <v>0</v>
      </c>
      <c r="G45" s="8" t="n">
        <v>13</v>
      </c>
      <c r="H45" s="8" t="n">
        <v>13</v>
      </c>
      <c r="I45" s="9" t="n">
        <v>13</v>
      </c>
      <c r="J45" s="8" t="n">
        <v>0</v>
      </c>
      <c r="K45" s="8" t="n">
        <v>0</v>
      </c>
      <c r="L45" s="8" t="n">
        <v>0</v>
      </c>
      <c r="M45" s="11" t="n">
        <v>0</v>
      </c>
      <c r="N45" s="14" t="n">
        <v>0</v>
      </c>
      <c r="O45" s="7" t="n">
        <v>38</v>
      </c>
      <c r="P45" s="7" t="n">
        <v>39</v>
      </c>
    </row>
  </sheetData>
  <conditionalFormatting sqref="C6:C45">
    <cfRule type="dataBar" priority="1">
      <dataBar showValue="1">
        <cfvo type="min"/>
        <cfvo type="max"/>
        <color rgb="FF2A78D6"/>
      </dataBar>
    </cfRule>
  </conditionalFormatting>
  <conditionalFormatting sqref="M6:M45">
    <cfRule type="colorScale" priority="2">
      <colorScale>
        <cfvo type="num" val="0"/>
        <cfvo type="num" val="100"/>
        <color rgb="FFFFFFFF"/>
        <color rgb="FFEB6834"/>
      </colorScale>
    </cfRule>
  </conditionalFormatting>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K80"/>
  <sheetViews>
    <sheetView showGridLines="0" workbookViewId="0">
      <pane ySplit="1" topLeftCell="A2" activePane="bottomLeft" state="frozen"/>
      <selection pane="bottomLeft" activeCell="A1" sqref="A1"/>
    </sheetView>
  </sheetViews>
  <sheetFormatPr baseColWidth="8" defaultRowHeight="15"/>
  <cols>
    <col width="36" customWidth="1" min="1" max="1"/>
    <col width="29" customWidth="1" min="2" max="2"/>
    <col width="17" customWidth="1" min="3" max="3"/>
    <col width="15" customWidth="1" min="4" max="4"/>
    <col width="20" customWidth="1" min="5" max="5"/>
    <col width="21" customWidth="1" min="6" max="6"/>
    <col width="11" customWidth="1" min="7" max="7"/>
    <col width="26" customWidth="1" min="8" max="8"/>
    <col width="26" customWidth="1" min="9" max="9"/>
    <col width="21" customWidth="1" min="10" max="10"/>
    <col width="19" customWidth="1" min="11" max="11"/>
  </cols>
  <sheetData>
    <row r="1">
      <c r="A1" s="12" t="inlineStr">
        <is>
          <t>Active backlog by geography</t>
        </is>
      </c>
    </row>
    <row r="2">
      <c r="A2" s="2" t="inlineStr">
        <is>
          <t>District counts are not comparable as service levels: this dataset carries no population, street-mileage or asset denominators.</t>
        </is>
      </c>
    </row>
    <row r="3">
      <c r="A3" s="13" t="inlineStr">
        <is>
          <t>Q5, Q6 - where volume sits and whether any area's queue is unusually old.</t>
        </is>
      </c>
    </row>
    <row r="5" ht="30" customHeight="1">
      <c r="A5" s="6" t="inlineStr">
        <is>
          <t>Council district</t>
        </is>
      </c>
      <c r="B5" s="6" t="inlineStr">
        <is>
          <t>Active records</t>
        </is>
      </c>
      <c r="C5" s="6" t="inlineStr">
        <is>
          <t>% of backlog</t>
        </is>
      </c>
      <c r="D5" s="6" t="inlineStr">
        <is>
          <t>Submissions, last 12 months</t>
        </is>
      </c>
      <c r="E5" s="6" t="inlineStr">
        <is>
          <t>Backlog per recent submission</t>
        </is>
      </c>
      <c r="F5" s="6" t="inlineStr">
        <is>
          <t>Median age (days)</t>
        </is>
      </c>
      <c r="G5" s="6" t="inlineStr">
        <is>
          <t>P90 age (days)</t>
        </is>
      </c>
      <c r="H5" s="6" t="inlineStr">
        <is>
          <t>Aged 90+</t>
        </is>
      </c>
      <c r="I5" s="6" t="inlineStr">
        <is>
          <t>% of own queue aged 90+</t>
        </is>
      </c>
      <c r="J5" s="6" t="inlineStr">
        <is>
          <t>% of city aged 90+</t>
        </is>
      </c>
      <c r="K5" s="6" t="inlineStr">
        <is>
          <t>Duplicate rate %</t>
        </is>
      </c>
    </row>
    <row r="6">
      <c r="A6" s="7" t="inlineStr">
        <is>
          <t>3</t>
        </is>
      </c>
      <c r="B6" s="8" t="n">
        <v>18414</v>
      </c>
      <c r="C6" s="11" t="n">
        <v>22.6</v>
      </c>
      <c r="D6" s="8" t="n">
        <v>89956</v>
      </c>
      <c r="E6" s="15" t="n">
        <v>0.205</v>
      </c>
      <c r="F6" s="8" t="n">
        <v>403</v>
      </c>
      <c r="G6" s="9" t="n">
        <v>1633.100000000002</v>
      </c>
      <c r="H6" s="8" t="n">
        <v>14346</v>
      </c>
      <c r="I6" s="11" t="n">
        <v>77.90000000000001</v>
      </c>
      <c r="J6" s="11" t="n">
        <v>23.2</v>
      </c>
      <c r="K6" s="11" t="n">
        <v>30.8</v>
      </c>
    </row>
    <row r="7">
      <c r="A7" s="7" t="inlineStr">
        <is>
          <t>2</t>
        </is>
      </c>
      <c r="B7" s="8" t="n">
        <v>12293</v>
      </c>
      <c r="C7" s="11" t="n">
        <v>15.1</v>
      </c>
      <c r="D7" s="8" t="n">
        <v>63332</v>
      </c>
      <c r="E7" s="15" t="n">
        <v>0.194</v>
      </c>
      <c r="F7" s="8" t="n">
        <v>399</v>
      </c>
      <c r="G7" s="9" t="n">
        <v>1848.800000000001</v>
      </c>
      <c r="H7" s="8" t="n">
        <v>9391</v>
      </c>
      <c r="I7" s="11" t="n">
        <v>76.40000000000001</v>
      </c>
      <c r="J7" s="11" t="n">
        <v>15.2</v>
      </c>
      <c r="K7" s="11" t="n">
        <v>28.3</v>
      </c>
    </row>
    <row r="8">
      <c r="A8" s="7" t="inlineStr">
        <is>
          <t>1</t>
        </is>
      </c>
      <c r="B8" s="8" t="n">
        <v>9649</v>
      </c>
      <c r="C8" s="11" t="n">
        <v>11.9</v>
      </c>
      <c r="D8" s="8" t="n">
        <v>36484</v>
      </c>
      <c r="E8" s="15" t="n">
        <v>0.264</v>
      </c>
      <c r="F8" s="8" t="n">
        <v>482</v>
      </c>
      <c r="G8" s="8" t="n">
        <v>1754</v>
      </c>
      <c r="H8" s="8" t="n">
        <v>7970</v>
      </c>
      <c r="I8" s="11" t="n">
        <v>82.59999999999999</v>
      </c>
      <c r="J8" s="11" t="n">
        <v>12.9</v>
      </c>
      <c r="K8" s="11" t="n">
        <v>25.1</v>
      </c>
    </row>
    <row r="9">
      <c r="A9" s="7" t="inlineStr">
        <is>
          <t>9</t>
        </is>
      </c>
      <c r="B9" s="8" t="n">
        <v>9378</v>
      </c>
      <c r="C9" s="11" t="n">
        <v>11.5</v>
      </c>
      <c r="D9" s="8" t="n">
        <v>69571</v>
      </c>
      <c r="E9" s="15" t="n">
        <v>0.135</v>
      </c>
      <c r="F9" s="8" t="n">
        <v>331</v>
      </c>
      <c r="G9" s="9" t="n">
        <v>1745.300000000001</v>
      </c>
      <c r="H9" s="8" t="n">
        <v>6890</v>
      </c>
      <c r="I9" s="11" t="n">
        <v>73.5</v>
      </c>
      <c r="J9" s="11" t="n">
        <v>11.1</v>
      </c>
      <c r="K9" s="11" t="n">
        <v>27</v>
      </c>
    </row>
    <row r="10">
      <c r="A10" s="7" t="inlineStr">
        <is>
          <t>8</t>
        </is>
      </c>
      <c r="B10" s="8" t="n">
        <v>7198</v>
      </c>
      <c r="C10" s="11" t="n">
        <v>8.800000000000001</v>
      </c>
      <c r="D10" s="8" t="n">
        <v>44849</v>
      </c>
      <c r="E10" s="15" t="n">
        <v>0.16</v>
      </c>
      <c r="F10" s="8" t="n">
        <v>324</v>
      </c>
      <c r="G10" s="9" t="n">
        <v>1621.9</v>
      </c>
      <c r="H10" s="8" t="n">
        <v>4985</v>
      </c>
      <c r="I10" s="11" t="n">
        <v>69.3</v>
      </c>
      <c r="J10" s="11" t="n">
        <v>8.1</v>
      </c>
      <c r="K10" s="11" t="n">
        <v>25.5</v>
      </c>
    </row>
    <row r="11">
      <c r="A11" s="7" t="inlineStr">
        <is>
          <t>7</t>
        </is>
      </c>
      <c r="B11" s="8" t="n">
        <v>6768</v>
      </c>
      <c r="C11" s="11" t="n">
        <v>8.300000000000001</v>
      </c>
      <c r="D11" s="8" t="n">
        <v>28447</v>
      </c>
      <c r="E11" s="15" t="n">
        <v>0.238</v>
      </c>
      <c r="F11" s="8" t="n">
        <v>381</v>
      </c>
      <c r="G11" s="8" t="n">
        <v>1728</v>
      </c>
      <c r="H11" s="8" t="n">
        <v>4971</v>
      </c>
      <c r="I11" s="11" t="n">
        <v>73.40000000000001</v>
      </c>
      <c r="J11" s="11" t="n">
        <v>8</v>
      </c>
      <c r="K11" s="11" t="n">
        <v>25.3</v>
      </c>
    </row>
    <row r="12">
      <c r="A12" s="7" t="inlineStr">
        <is>
          <t>4</t>
        </is>
      </c>
      <c r="B12" s="8" t="n">
        <v>5988</v>
      </c>
      <c r="C12" s="11" t="n">
        <v>7.4</v>
      </c>
      <c r="D12" s="8" t="n">
        <v>40954</v>
      </c>
      <c r="E12" s="15" t="n">
        <v>0.146</v>
      </c>
      <c r="F12" s="8" t="n">
        <v>194</v>
      </c>
      <c r="G12" s="9" t="n">
        <v>1313.3</v>
      </c>
      <c r="H12" s="8" t="n">
        <v>3763</v>
      </c>
      <c r="I12" s="11" t="n">
        <v>62.8</v>
      </c>
      <c r="J12" s="11" t="n">
        <v>6.1</v>
      </c>
      <c r="K12" s="11" t="n">
        <v>24.1</v>
      </c>
    </row>
    <row r="13">
      <c r="A13" s="7" t="inlineStr">
        <is>
          <t>5</t>
        </is>
      </c>
      <c r="B13" s="8" t="n">
        <v>5664</v>
      </c>
      <c r="C13" s="11" t="n">
        <v>7</v>
      </c>
      <c r="D13" s="8" t="n">
        <v>15481</v>
      </c>
      <c r="E13" s="15" t="n">
        <v>0.366</v>
      </c>
      <c r="F13" s="8" t="n">
        <v>529</v>
      </c>
      <c r="G13" s="9" t="n">
        <v>1727.7</v>
      </c>
      <c r="H13" s="8" t="n">
        <v>4637</v>
      </c>
      <c r="I13" s="11" t="n">
        <v>81.90000000000001</v>
      </c>
      <c r="J13" s="11" t="n">
        <v>7.5</v>
      </c>
      <c r="K13" s="11" t="n">
        <v>28.2</v>
      </c>
    </row>
    <row r="14">
      <c r="A14" s="7" t="inlineStr">
        <is>
          <t>6</t>
        </is>
      </c>
      <c r="B14" s="8" t="n">
        <v>5096</v>
      </c>
      <c r="C14" s="11" t="n">
        <v>6.3</v>
      </c>
      <c r="D14" s="8" t="n">
        <v>20283</v>
      </c>
      <c r="E14" s="15" t="n">
        <v>0.251</v>
      </c>
      <c r="F14" s="9" t="n">
        <v>426.5</v>
      </c>
      <c r="G14" s="8" t="n">
        <v>1758</v>
      </c>
      <c r="H14" s="8" t="n">
        <v>4127</v>
      </c>
      <c r="I14" s="11" t="n">
        <v>81</v>
      </c>
      <c r="J14" s="11" t="n">
        <v>6.7</v>
      </c>
      <c r="K14" s="11" t="n">
        <v>24.8</v>
      </c>
    </row>
    <row r="15">
      <c r="A15" s="7" t="inlineStr">
        <is>
          <t>(Unknown)</t>
        </is>
      </c>
      <c r="B15" s="8" t="n">
        <v>911</v>
      </c>
      <c r="C15" s="11" t="n">
        <v>1.1</v>
      </c>
      <c r="D15" s="8" t="n">
        <v>1645</v>
      </c>
      <c r="E15" s="15" t="n">
        <v>0.554</v>
      </c>
      <c r="F15" s="8" t="n">
        <v>184</v>
      </c>
      <c r="G15" s="8" t="n">
        <v>773</v>
      </c>
      <c r="H15" s="8" t="n">
        <v>842</v>
      </c>
      <c r="I15" s="11" t="n">
        <v>92.40000000000001</v>
      </c>
      <c r="J15" s="11" t="n">
        <v>1.4</v>
      </c>
      <c r="K15" s="11" t="n">
        <v>0.9</v>
      </c>
    </row>
    <row r="17">
      <c r="A17" s="5" t="inlineStr">
        <is>
          <t>Aged-concentration index (1.000 = area holds exactly the aged share its queue size implies)</t>
        </is>
      </c>
    </row>
    <row r="18" ht="30" customHeight="1">
      <c r="A18" s="6" t="inlineStr">
        <is>
          <t>Council district</t>
        </is>
      </c>
      <c r="B18" s="6" t="inlineStr">
        <is>
          <t>Active records</t>
        </is>
      </c>
      <c r="C18" s="6" t="inlineStr">
        <is>
          <t>Aged 90+</t>
        </is>
      </c>
      <c r="D18" s="6" t="inlineStr">
        <is>
          <t>Median age (days)</t>
        </is>
      </c>
      <c r="E18" s="6" t="inlineStr">
        <is>
          <t>% of backlog</t>
        </is>
      </c>
      <c r="F18" s="6" t="inlineStr">
        <is>
          <t>% of aged 90+</t>
        </is>
      </c>
      <c r="G18" s="6" t="inlineStr">
        <is>
          <t>Aged concentration index</t>
        </is>
      </c>
      <c r="H18" s="6" t="inlineStr">
        <is>
          <t>Rank</t>
        </is>
      </c>
    </row>
    <row r="19">
      <c r="A19" s="7" t="inlineStr">
        <is>
          <t>(Unknown)</t>
        </is>
      </c>
      <c r="B19" s="8" t="n">
        <v>911</v>
      </c>
      <c r="C19" s="8" t="n">
        <v>842</v>
      </c>
      <c r="D19" s="8" t="n">
        <v>184</v>
      </c>
      <c r="E19" s="14" t="n">
        <v>1.12</v>
      </c>
      <c r="F19" s="14" t="n">
        <v>1.36</v>
      </c>
      <c r="G19" s="15" t="n">
        <v>1.214</v>
      </c>
      <c r="H19" s="7" t="n">
        <v>1</v>
      </c>
    </row>
    <row r="20">
      <c r="A20" s="7" t="inlineStr">
        <is>
          <t>1</t>
        </is>
      </c>
      <c r="B20" s="8" t="n">
        <v>9649</v>
      </c>
      <c r="C20" s="8" t="n">
        <v>7970</v>
      </c>
      <c r="D20" s="8" t="n">
        <v>482</v>
      </c>
      <c r="E20" s="14" t="n">
        <v>11.86</v>
      </c>
      <c r="F20" s="14" t="n">
        <v>12.87</v>
      </c>
      <c r="G20" s="15" t="n">
        <v>1.085</v>
      </c>
      <c r="H20" s="7" t="n">
        <v>2</v>
      </c>
    </row>
    <row r="21">
      <c r="A21" s="7" t="inlineStr">
        <is>
          <t>5</t>
        </is>
      </c>
      <c r="B21" s="8" t="n">
        <v>5664</v>
      </c>
      <c r="C21" s="8" t="n">
        <v>4637</v>
      </c>
      <c r="D21" s="8" t="n">
        <v>529</v>
      </c>
      <c r="E21" s="14" t="n">
        <v>6.96</v>
      </c>
      <c r="F21" s="14" t="n">
        <v>7.49</v>
      </c>
      <c r="G21" s="15" t="n">
        <v>1.076</v>
      </c>
      <c r="H21" s="7" t="n">
        <v>3</v>
      </c>
    </row>
    <row r="22">
      <c r="A22" s="7" t="inlineStr">
        <is>
          <t>6</t>
        </is>
      </c>
      <c r="B22" s="8" t="n">
        <v>5096</v>
      </c>
      <c r="C22" s="8" t="n">
        <v>4127</v>
      </c>
      <c r="D22" s="9" t="n">
        <v>426.5</v>
      </c>
      <c r="E22" s="14" t="n">
        <v>6.26</v>
      </c>
      <c r="F22" s="14" t="n">
        <v>6.66</v>
      </c>
      <c r="G22" s="15" t="n">
        <v>1.064</v>
      </c>
      <c r="H22" s="7" t="n">
        <v>4</v>
      </c>
    </row>
    <row r="23">
      <c r="A23" s="7" t="inlineStr">
        <is>
          <t>3</t>
        </is>
      </c>
      <c r="B23" s="8" t="n">
        <v>18414</v>
      </c>
      <c r="C23" s="8" t="n">
        <v>14346</v>
      </c>
      <c r="D23" s="8" t="n">
        <v>403</v>
      </c>
      <c r="E23" s="14" t="n">
        <v>22.63</v>
      </c>
      <c r="F23" s="14" t="n">
        <v>23.17</v>
      </c>
      <c r="G23" s="15" t="n">
        <v>1.024</v>
      </c>
      <c r="H23" s="7" t="n">
        <v>5</v>
      </c>
    </row>
    <row r="24">
      <c r="A24" s="7" t="inlineStr">
        <is>
          <t>2</t>
        </is>
      </c>
      <c r="B24" s="8" t="n">
        <v>12293</v>
      </c>
      <c r="C24" s="8" t="n">
        <v>9391</v>
      </c>
      <c r="D24" s="8" t="n">
        <v>399</v>
      </c>
      <c r="E24" s="14" t="n">
        <v>15.11</v>
      </c>
      <c r="F24" s="14" t="n">
        <v>15.17</v>
      </c>
      <c r="G24" s="15" t="n">
        <v>1.004</v>
      </c>
      <c r="H24" s="7" t="n">
        <v>6</v>
      </c>
    </row>
    <row r="25">
      <c r="A25" s="7" t="inlineStr">
        <is>
          <t>7</t>
        </is>
      </c>
      <c r="B25" s="8" t="n">
        <v>6768</v>
      </c>
      <c r="C25" s="8" t="n">
        <v>4971</v>
      </c>
      <c r="D25" s="8" t="n">
        <v>381</v>
      </c>
      <c r="E25" s="14" t="n">
        <v>8.32</v>
      </c>
      <c r="F25" s="14" t="n">
        <v>8.029999999999999</v>
      </c>
      <c r="G25" s="15" t="n">
        <v>0.965</v>
      </c>
      <c r="H25" s="7" t="n">
        <v>8</v>
      </c>
    </row>
    <row r="26">
      <c r="A26" s="7" t="inlineStr">
        <is>
          <t>9</t>
        </is>
      </c>
      <c r="B26" s="8" t="n">
        <v>9378</v>
      </c>
      <c r="C26" s="8" t="n">
        <v>6890</v>
      </c>
      <c r="D26" s="8" t="n">
        <v>331</v>
      </c>
      <c r="E26" s="14" t="n">
        <v>11.53</v>
      </c>
      <c r="F26" s="14" t="n">
        <v>11.13</v>
      </c>
      <c r="G26" s="15" t="n">
        <v>0.965</v>
      </c>
      <c r="H26" s="7" t="n">
        <v>7</v>
      </c>
    </row>
    <row r="27">
      <c r="A27" s="7" t="inlineStr">
        <is>
          <t>8</t>
        </is>
      </c>
      <c r="B27" s="8" t="n">
        <v>7198</v>
      </c>
      <c r="C27" s="8" t="n">
        <v>4985</v>
      </c>
      <c r="D27" s="8" t="n">
        <v>324</v>
      </c>
      <c r="E27" s="14" t="n">
        <v>8.85</v>
      </c>
      <c r="F27" s="14" t="n">
        <v>8.050000000000001</v>
      </c>
      <c r="G27" s="15" t="n">
        <v>0.91</v>
      </c>
      <c r="H27" s="7" t="n">
        <v>9</v>
      </c>
    </row>
    <row r="28">
      <c r="A28" s="7" t="inlineStr">
        <is>
          <t>4</t>
        </is>
      </c>
      <c r="B28" s="8" t="n">
        <v>5988</v>
      </c>
      <c r="C28" s="8" t="n">
        <v>3763</v>
      </c>
      <c r="D28" s="8" t="n">
        <v>194</v>
      </c>
      <c r="E28" s="14" t="n">
        <v>7.36</v>
      </c>
      <c r="F28" s="14" t="n">
        <v>6.08</v>
      </c>
      <c r="G28" s="15" t="n">
        <v>0.826</v>
      </c>
      <c r="H28" s="7" t="n">
        <v>10</v>
      </c>
    </row>
    <row r="30">
      <c r="A30" s="5" t="inlineStr">
        <is>
          <t>Community planning areas with 100+ active records</t>
        </is>
      </c>
    </row>
    <row r="31" ht="30" customHeight="1">
      <c r="A31" s="6" t="inlineStr">
        <is>
          <t>Community</t>
        </is>
      </c>
      <c r="B31" s="6" t="inlineStr">
        <is>
          <t>Council district (example)</t>
        </is>
      </c>
      <c r="C31" s="6" t="inlineStr">
        <is>
          <t>Active records</t>
        </is>
      </c>
      <c r="D31" s="6" t="inlineStr">
        <is>
          <t>% of backlog</t>
        </is>
      </c>
      <c r="E31" s="6" t="inlineStr">
        <is>
          <t>Median age (days)</t>
        </is>
      </c>
      <c r="F31" s="6" t="inlineStr">
        <is>
          <t>P90 age (days)</t>
        </is>
      </c>
      <c r="G31" s="6" t="inlineStr">
        <is>
          <t>Aged 90+</t>
        </is>
      </c>
      <c r="H31" s="6" t="inlineStr">
        <is>
          <t>% of own queue aged 90+</t>
        </is>
      </c>
    </row>
    <row r="32">
      <c r="A32" s="7" t="inlineStr">
        <is>
          <t>DOWNTOWN</t>
        </is>
      </c>
      <c r="B32" s="7" t="inlineStr">
        <is>
          <t>3</t>
        </is>
      </c>
      <c r="C32" s="8" t="n">
        <v>6435</v>
      </c>
      <c r="D32" s="14" t="n">
        <v>7.94</v>
      </c>
      <c r="E32" s="8" t="n">
        <v>338</v>
      </c>
      <c r="F32" s="8" t="n">
        <v>1328</v>
      </c>
      <c r="G32" s="8" t="n">
        <v>5043</v>
      </c>
      <c r="H32" s="11" t="n">
        <v>78.40000000000001</v>
      </c>
    </row>
    <row r="33">
      <c r="A33" s="7" t="inlineStr">
        <is>
          <t>SOUTHEASTERN SAN DIEGO</t>
        </is>
      </c>
      <c r="B33" s="7" t="inlineStr">
        <is>
          <t>8</t>
        </is>
      </c>
      <c r="C33" s="8" t="n">
        <v>4551</v>
      </c>
      <c r="D33" s="14" t="n">
        <v>5.61</v>
      </c>
      <c r="E33" s="8" t="n">
        <v>286</v>
      </c>
      <c r="F33" s="8" t="n">
        <v>1766</v>
      </c>
      <c r="G33" s="8" t="n">
        <v>3077</v>
      </c>
      <c r="H33" s="11" t="n">
        <v>67.59999999999999</v>
      </c>
    </row>
    <row r="34">
      <c r="A34" s="7" t="inlineStr">
        <is>
          <t>CLAIREMONT MESA</t>
        </is>
      </c>
      <c r="B34" s="7" t="inlineStr">
        <is>
          <t>2</t>
        </is>
      </c>
      <c r="C34" s="8" t="n">
        <v>4492</v>
      </c>
      <c r="D34" s="14" t="n">
        <v>5.54</v>
      </c>
      <c r="E34" s="8" t="n">
        <v>381</v>
      </c>
      <c r="F34" s="9" t="n">
        <v>2064.7</v>
      </c>
      <c r="G34" s="8" t="n">
        <v>3313</v>
      </c>
      <c r="H34" s="11" t="n">
        <v>73.8</v>
      </c>
    </row>
    <row r="35">
      <c r="A35" s="7" t="inlineStr">
        <is>
          <t>UPTOWN</t>
        </is>
      </c>
      <c r="B35" s="7" t="inlineStr">
        <is>
          <t>3</t>
        </is>
      </c>
      <c r="C35" s="8" t="n">
        <v>4265</v>
      </c>
      <c r="D35" s="14" t="n">
        <v>5.26</v>
      </c>
      <c r="E35" s="8" t="n">
        <v>405</v>
      </c>
      <c r="F35" s="9" t="n">
        <v>1903.2</v>
      </c>
      <c r="G35" s="8" t="n">
        <v>3319</v>
      </c>
      <c r="H35" s="11" t="n">
        <v>77.8</v>
      </c>
    </row>
    <row r="36">
      <c r="A36" s="7" t="inlineStr">
        <is>
          <t>MID-CITY:CITY HEIGHTS</t>
        </is>
      </c>
      <c r="B36" s="7" t="inlineStr">
        <is>
          <t>9</t>
        </is>
      </c>
      <c r="C36" s="8" t="n">
        <v>3911</v>
      </c>
      <c r="D36" s="14" t="n">
        <v>4.82</v>
      </c>
      <c r="E36" s="8" t="n">
        <v>271</v>
      </c>
      <c r="F36" s="8" t="n">
        <v>1503</v>
      </c>
      <c r="G36" s="8" t="n">
        <v>2805</v>
      </c>
      <c r="H36" s="11" t="n">
        <v>71.7</v>
      </c>
    </row>
    <row r="37">
      <c r="A37" s="7" t="inlineStr">
        <is>
          <t>NORTH PARK</t>
        </is>
      </c>
      <c r="B37" s="7" t="inlineStr">
        <is>
          <t>3</t>
        </is>
      </c>
      <c r="C37" s="8" t="n">
        <v>3856</v>
      </c>
      <c r="D37" s="14" t="n">
        <v>4.76</v>
      </c>
      <c r="E37" s="8" t="n">
        <v>459</v>
      </c>
      <c r="F37" s="8" t="n">
        <v>1795</v>
      </c>
      <c r="G37" s="8" t="n">
        <v>2980</v>
      </c>
      <c r="H37" s="11" t="n">
        <v>77.3</v>
      </c>
    </row>
    <row r="38">
      <c r="A38" s="7" t="inlineStr">
        <is>
          <t>PACIFIC BEACH</t>
        </is>
      </c>
      <c r="B38" s="7" t="inlineStr">
        <is>
          <t>1</t>
        </is>
      </c>
      <c r="C38" s="8" t="n">
        <v>3502</v>
      </c>
      <c r="D38" s="14" t="n">
        <v>4.32</v>
      </c>
      <c r="E38" s="8" t="n">
        <v>464</v>
      </c>
      <c r="F38" s="9" t="n">
        <v>1786.8</v>
      </c>
      <c r="G38" s="8" t="n">
        <v>2853</v>
      </c>
      <c r="H38" s="11" t="n">
        <v>81.5</v>
      </c>
    </row>
    <row r="39">
      <c r="A39" s="7" t="inlineStr">
        <is>
          <t>PENINSULA</t>
        </is>
      </c>
      <c r="B39" s="7" t="inlineStr">
        <is>
          <t>2</t>
        </is>
      </c>
      <c r="C39" s="8" t="n">
        <v>3096</v>
      </c>
      <c r="D39" s="14" t="n">
        <v>3.82</v>
      </c>
      <c r="E39" s="8" t="n">
        <v>508</v>
      </c>
      <c r="F39" s="8" t="n">
        <v>1713</v>
      </c>
      <c r="G39" s="8" t="n">
        <v>2517</v>
      </c>
      <c r="H39" s="11" t="n">
        <v>81.3</v>
      </c>
    </row>
    <row r="40">
      <c r="A40" s="7" t="inlineStr">
        <is>
          <t>LA JOLLA</t>
        </is>
      </c>
      <c r="B40" s="7" t="inlineStr">
        <is>
          <t>1</t>
        </is>
      </c>
      <c r="C40" s="8" t="n">
        <v>3074</v>
      </c>
      <c r="D40" s="14" t="n">
        <v>3.79</v>
      </c>
      <c r="E40" s="9" t="n">
        <v>555.5</v>
      </c>
      <c r="F40" s="9" t="n">
        <v>1887.700000000001</v>
      </c>
      <c r="G40" s="8" t="n">
        <v>2628</v>
      </c>
      <c r="H40" s="11" t="n">
        <v>85.5</v>
      </c>
    </row>
    <row r="41">
      <c r="A41" s="7" t="inlineStr">
        <is>
          <t>NAVAJO</t>
        </is>
      </c>
      <c r="B41" s="7" t="inlineStr">
        <is>
          <t>7</t>
        </is>
      </c>
      <c r="C41" s="8" t="n">
        <v>2685</v>
      </c>
      <c r="D41" s="14" t="n">
        <v>3.31</v>
      </c>
      <c r="E41" s="8" t="n">
        <v>469</v>
      </c>
      <c r="F41" s="9" t="n">
        <v>1884.799999999999</v>
      </c>
      <c r="G41" s="8" t="n">
        <v>2067</v>
      </c>
      <c r="H41" s="11" t="n">
        <v>77</v>
      </c>
    </row>
    <row r="42">
      <c r="A42" s="7" t="inlineStr">
        <is>
          <t>MIRA MESA</t>
        </is>
      </c>
      <c r="B42" s="7" t="inlineStr">
        <is>
          <t>6</t>
        </is>
      </c>
      <c r="C42" s="8" t="n">
        <v>2486</v>
      </c>
      <c r="D42" s="14" t="n">
        <v>3.07</v>
      </c>
      <c r="E42" s="8" t="n">
        <v>422</v>
      </c>
      <c r="F42" s="8" t="n">
        <v>1659</v>
      </c>
      <c r="G42" s="8" t="n">
        <v>2038</v>
      </c>
      <c r="H42" s="11" t="n">
        <v>82</v>
      </c>
    </row>
    <row r="43">
      <c r="A43" s="7" t="inlineStr">
        <is>
          <t>SKYLINE-PARADISE HILLS</t>
        </is>
      </c>
      <c r="B43" s="7" t="inlineStr">
        <is>
          <t>4</t>
        </is>
      </c>
      <c r="C43" s="8" t="n">
        <v>2290</v>
      </c>
      <c r="D43" s="14" t="n">
        <v>2.83</v>
      </c>
      <c r="E43" s="8" t="n">
        <v>195</v>
      </c>
      <c r="F43" s="9" t="n">
        <v>1377.5</v>
      </c>
      <c r="G43" s="8" t="n">
        <v>1473</v>
      </c>
      <c r="H43" s="11" t="n">
        <v>64.3</v>
      </c>
    </row>
    <row r="44">
      <c r="A44" s="7" t="inlineStr">
        <is>
          <t>ENCANTO NEIGHBORHOODS</t>
        </is>
      </c>
      <c r="B44" s="7" t="inlineStr">
        <is>
          <t>4</t>
        </is>
      </c>
      <c r="C44" s="8" t="n">
        <v>2229</v>
      </c>
      <c r="D44" s="14" t="n">
        <v>2.75</v>
      </c>
      <c r="E44" s="8" t="n">
        <v>258</v>
      </c>
      <c r="F44" s="8" t="n">
        <v>1375</v>
      </c>
      <c r="G44" s="8" t="n">
        <v>1491</v>
      </c>
      <c r="H44" s="11" t="n">
        <v>66.90000000000001</v>
      </c>
    </row>
    <row r="45">
      <c r="A45" s="7" t="inlineStr">
        <is>
          <t>GREATER GOLDEN HILL</t>
        </is>
      </c>
      <c r="B45" s="7" t="inlineStr">
        <is>
          <t>3</t>
        </is>
      </c>
      <c r="C45" s="8" t="n">
        <v>1912</v>
      </c>
      <c r="D45" s="14" t="n">
        <v>2.36</v>
      </c>
      <c r="E45" s="8" t="n">
        <v>497</v>
      </c>
      <c r="F45" s="9" t="n">
        <v>2044.6</v>
      </c>
      <c r="G45" s="8" t="n">
        <v>1491</v>
      </c>
      <c r="H45" s="11" t="n">
        <v>78</v>
      </c>
    </row>
    <row r="46">
      <c r="A46" s="7" t="inlineStr">
        <is>
          <t>MID-CITY:EASTERN AREA</t>
        </is>
      </c>
      <c r="B46" s="7" t="inlineStr">
        <is>
          <t>9</t>
        </is>
      </c>
      <c r="C46" s="8" t="n">
        <v>1828</v>
      </c>
      <c r="D46" s="14" t="n">
        <v>2.26</v>
      </c>
      <c r="E46" s="8" t="n">
        <v>240</v>
      </c>
      <c r="F46" s="9" t="n">
        <v>1646.4</v>
      </c>
      <c r="G46" s="8" t="n">
        <v>1212</v>
      </c>
      <c r="H46" s="11" t="n">
        <v>66.3</v>
      </c>
    </row>
    <row r="47">
      <c r="A47" s="7" t="inlineStr">
        <is>
          <t>OTAY MESA-NESTOR</t>
        </is>
      </c>
      <c r="B47" s="7" t="inlineStr">
        <is>
          <t>8</t>
        </is>
      </c>
      <c r="C47" s="8" t="n">
        <v>1815</v>
      </c>
      <c r="D47" s="14" t="n">
        <v>2.24</v>
      </c>
      <c r="E47" s="8" t="n">
        <v>234</v>
      </c>
      <c r="F47" s="9" t="n">
        <v>1094.000000000001</v>
      </c>
      <c r="G47" s="8" t="n">
        <v>1153</v>
      </c>
      <c r="H47" s="11" t="n">
        <v>63.5</v>
      </c>
    </row>
    <row r="48">
      <c r="A48" s="7" t="inlineStr">
        <is>
          <t>UNIVERSITY</t>
        </is>
      </c>
      <c r="B48" s="7" t="inlineStr">
        <is>
          <t>6</t>
        </is>
      </c>
      <c r="C48" s="8" t="n">
        <v>1781</v>
      </c>
      <c r="D48" s="14" t="n">
        <v>2.2</v>
      </c>
      <c r="E48" s="8" t="n">
        <v>461</v>
      </c>
      <c r="F48" s="8" t="n">
        <v>1937</v>
      </c>
      <c r="G48" s="8" t="n">
        <v>1424</v>
      </c>
      <c r="H48" s="11" t="n">
        <v>80</v>
      </c>
    </row>
    <row r="49">
      <c r="A49" s="7" t="inlineStr">
        <is>
          <t>RANCHO PENASQUITOS</t>
        </is>
      </c>
      <c r="B49" s="7" t="inlineStr">
        <is>
          <t>5</t>
        </is>
      </c>
      <c r="C49" s="8" t="n">
        <v>1472</v>
      </c>
      <c r="D49" s="14" t="n">
        <v>1.82</v>
      </c>
      <c r="E49" s="8" t="n">
        <v>540</v>
      </c>
      <c r="F49" s="8" t="n">
        <v>1844</v>
      </c>
      <c r="G49" s="8" t="n">
        <v>1170</v>
      </c>
      <c r="H49" s="11" t="n">
        <v>79.5</v>
      </c>
    </row>
    <row r="50">
      <c r="A50" s="7" t="inlineStr">
        <is>
          <t>LINDA VISTA</t>
        </is>
      </c>
      <c r="B50" s="7" t="inlineStr">
        <is>
          <t>7</t>
        </is>
      </c>
      <c r="C50" s="8" t="n">
        <v>1451</v>
      </c>
      <c r="D50" s="14" t="n">
        <v>1.79</v>
      </c>
      <c r="E50" s="8" t="n">
        <v>166</v>
      </c>
      <c r="F50" s="8" t="n">
        <v>1207</v>
      </c>
      <c r="G50" s="8" t="n">
        <v>866</v>
      </c>
      <c r="H50" s="11" t="n">
        <v>59.7</v>
      </c>
    </row>
    <row r="51">
      <c r="A51" s="7" t="inlineStr">
        <is>
          <t>RANCHO BERNARDO</t>
        </is>
      </c>
      <c r="B51" s="7" t="inlineStr">
        <is>
          <t>5</t>
        </is>
      </c>
      <c r="C51" s="8" t="n">
        <v>1442</v>
      </c>
      <c r="D51" s="14" t="n">
        <v>1.78</v>
      </c>
      <c r="E51" s="9" t="n">
        <v>493.5</v>
      </c>
      <c r="F51" s="9" t="n">
        <v>1642.8</v>
      </c>
      <c r="G51" s="8" t="n">
        <v>1188</v>
      </c>
      <c r="H51" s="11" t="n">
        <v>82.40000000000001</v>
      </c>
    </row>
    <row r="52">
      <c r="A52" s="7" t="inlineStr">
        <is>
          <t>MID-CITY:NORMAL HEIGHTS</t>
        </is>
      </c>
      <c r="B52" s="7" t="inlineStr">
        <is>
          <t>9</t>
        </is>
      </c>
      <c r="C52" s="8" t="n">
        <v>1380</v>
      </c>
      <c r="D52" s="14" t="n">
        <v>1.7</v>
      </c>
      <c r="E52" s="9" t="n">
        <v>501.5</v>
      </c>
      <c r="F52" s="9" t="n">
        <v>2243.1</v>
      </c>
      <c r="G52" s="8" t="n">
        <v>1101</v>
      </c>
      <c r="H52" s="11" t="n">
        <v>79.8</v>
      </c>
    </row>
    <row r="53">
      <c r="A53" s="7" t="inlineStr">
        <is>
          <t>CARMEL VALLEY</t>
        </is>
      </c>
      <c r="B53" s="7" t="inlineStr">
        <is>
          <t>1</t>
        </is>
      </c>
      <c r="C53" s="8" t="n">
        <v>1359</v>
      </c>
      <c r="D53" s="14" t="n">
        <v>1.68</v>
      </c>
      <c r="E53" s="8" t="n">
        <v>470</v>
      </c>
      <c r="F53" s="9" t="n">
        <v>1570.2</v>
      </c>
      <c r="G53" s="8" t="n">
        <v>1140</v>
      </c>
      <c r="H53" s="11" t="n">
        <v>83.90000000000001</v>
      </c>
    </row>
    <row r="54">
      <c r="A54" s="7" t="inlineStr">
        <is>
          <t>MISSION BAY PARK</t>
        </is>
      </c>
      <c r="B54" s="7" t="inlineStr">
        <is>
          <t>2</t>
        </is>
      </c>
      <c r="C54" s="8" t="n">
        <v>1305</v>
      </c>
      <c r="D54" s="14" t="n">
        <v>1.61</v>
      </c>
      <c r="E54" s="8" t="n">
        <v>312</v>
      </c>
      <c r="F54" s="8" t="n">
        <v>1398</v>
      </c>
      <c r="G54" s="8" t="n">
        <v>923</v>
      </c>
      <c r="H54" s="11" t="n">
        <v>70.7</v>
      </c>
    </row>
    <row r="55">
      <c r="A55" s="7" t="inlineStr">
        <is>
          <t>BALBOA PARK</t>
        </is>
      </c>
      <c r="B55" s="7" t="inlineStr">
        <is>
          <t>3</t>
        </is>
      </c>
      <c r="C55" s="8" t="n">
        <v>1289</v>
      </c>
      <c r="D55" s="14" t="n">
        <v>1.59</v>
      </c>
      <c r="E55" s="8" t="n">
        <v>456</v>
      </c>
      <c r="F55" s="9" t="n">
        <v>1456.8</v>
      </c>
      <c r="G55" s="8" t="n">
        <v>1046</v>
      </c>
      <c r="H55" s="11" t="n">
        <v>81.09999999999999</v>
      </c>
    </row>
    <row r="56">
      <c r="A56" s="7" t="inlineStr">
        <is>
          <t>MISSION VALLEY</t>
        </is>
      </c>
      <c r="B56" s="7" t="inlineStr">
        <is>
          <t>3</t>
        </is>
      </c>
      <c r="C56" s="8" t="n">
        <v>1279</v>
      </c>
      <c r="D56" s="14" t="n">
        <v>1.58</v>
      </c>
      <c r="E56" s="8" t="n">
        <v>311</v>
      </c>
      <c r="F56" s="9" t="n">
        <v>1573.8</v>
      </c>
      <c r="G56" s="8" t="n">
        <v>847</v>
      </c>
      <c r="H56" s="11" t="n">
        <v>66.2</v>
      </c>
    </row>
    <row r="57">
      <c r="A57" s="7" t="inlineStr">
        <is>
          <t>OCEAN BEACH</t>
        </is>
      </c>
      <c r="B57" s="7" t="inlineStr">
        <is>
          <t>2</t>
        </is>
      </c>
      <c r="C57" s="8" t="n">
        <v>1276</v>
      </c>
      <c r="D57" s="14" t="n">
        <v>1.57</v>
      </c>
      <c r="E57" s="8" t="n">
        <v>334</v>
      </c>
      <c r="F57" s="9" t="n">
        <v>2002.5</v>
      </c>
      <c r="G57" s="8" t="n">
        <v>910</v>
      </c>
      <c r="H57" s="11" t="n">
        <v>71.3</v>
      </c>
    </row>
    <row r="58">
      <c r="A58" s="7" t="inlineStr">
        <is>
          <t>MID-CITY:KENSINGTON-TALMADGE</t>
        </is>
      </c>
      <c r="B58" s="7" t="inlineStr">
        <is>
          <t>9</t>
        </is>
      </c>
      <c r="C58" s="8" t="n">
        <v>1143</v>
      </c>
      <c r="D58" s="14" t="n">
        <v>1.41</v>
      </c>
      <c r="E58" s="8" t="n">
        <v>505</v>
      </c>
      <c r="F58" s="9" t="n">
        <v>1775.999999999999</v>
      </c>
      <c r="G58" s="8" t="n">
        <v>919</v>
      </c>
      <c r="H58" s="11" t="n">
        <v>80.40000000000001</v>
      </c>
    </row>
    <row r="59">
      <c r="A59" s="7" t="inlineStr">
        <is>
          <t>SERRA MESA</t>
        </is>
      </c>
      <c r="B59" s="7" t="inlineStr">
        <is>
          <t>7</t>
        </is>
      </c>
      <c r="C59" s="8" t="n">
        <v>1026</v>
      </c>
      <c r="D59" s="14" t="n">
        <v>1.27</v>
      </c>
      <c r="E59" s="9" t="n">
        <v>418.5</v>
      </c>
      <c r="F59" s="8" t="n">
        <v>1776</v>
      </c>
      <c r="G59" s="8" t="n">
        <v>817</v>
      </c>
      <c r="H59" s="11" t="n">
        <v>79.59999999999999</v>
      </c>
    </row>
    <row r="60">
      <c r="A60" s="7" t="inlineStr">
        <is>
          <t>MIDWAY-PACIFIC HIGHWAY</t>
        </is>
      </c>
      <c r="B60" s="7" t="inlineStr">
        <is>
          <t>2</t>
        </is>
      </c>
      <c r="C60" s="8" t="n">
        <v>1023</v>
      </c>
      <c r="D60" s="14" t="n">
        <v>1.26</v>
      </c>
      <c r="E60" s="8" t="n">
        <v>452</v>
      </c>
      <c r="F60" s="8" t="n">
        <v>1963</v>
      </c>
      <c r="G60" s="8" t="n">
        <v>785</v>
      </c>
      <c r="H60" s="11" t="n">
        <v>76.7</v>
      </c>
    </row>
    <row r="61">
      <c r="A61" s="7" t="inlineStr">
        <is>
          <t>MISSION BEACH</t>
        </is>
      </c>
      <c r="B61" s="7" t="inlineStr">
        <is>
          <t>2</t>
        </is>
      </c>
      <c r="C61" s="8" t="n">
        <v>967</v>
      </c>
      <c r="D61" s="14" t="n">
        <v>1.19</v>
      </c>
      <c r="E61" s="8" t="n">
        <v>341</v>
      </c>
      <c r="F61" s="9" t="n">
        <v>1464.6</v>
      </c>
      <c r="G61" s="8" t="n">
        <v>810</v>
      </c>
      <c r="H61" s="11" t="n">
        <v>83.8</v>
      </c>
    </row>
    <row r="62">
      <c r="A62" s="7" t="inlineStr">
        <is>
          <t>COLLEGE AREA</t>
        </is>
      </c>
      <c r="B62" s="7" t="inlineStr">
        <is>
          <t>9</t>
        </is>
      </c>
      <c r="C62" s="8" t="n">
        <v>962</v>
      </c>
      <c r="D62" s="14" t="n">
        <v>1.19</v>
      </c>
      <c r="E62" s="9" t="n">
        <v>331.5</v>
      </c>
      <c r="F62" s="9" t="n">
        <v>1692.2</v>
      </c>
      <c r="G62" s="8" t="n">
        <v>701</v>
      </c>
      <c r="H62" s="11" t="n">
        <v>72.90000000000001</v>
      </c>
    </row>
    <row r="63">
      <c r="A63" s="7" t="inlineStr">
        <is>
          <t>TIERRASANTA</t>
        </is>
      </c>
      <c r="B63" s="7" t="inlineStr">
        <is>
          <t>7</t>
        </is>
      </c>
      <c r="C63" s="8" t="n">
        <v>956</v>
      </c>
      <c r="D63" s="14" t="n">
        <v>1.18</v>
      </c>
      <c r="E63" s="8" t="n">
        <v>457</v>
      </c>
      <c r="F63" s="9" t="n">
        <v>1861.5</v>
      </c>
      <c r="G63" s="8" t="n">
        <v>774</v>
      </c>
      <c r="H63" s="11" t="n">
        <v>81</v>
      </c>
    </row>
    <row r="64">
      <c r="A64" s="7" t="inlineStr">
        <is>
          <t>SCRIPPS MIRAMAR RANCH</t>
        </is>
      </c>
      <c r="B64" s="7" t="inlineStr">
        <is>
          <t>5</t>
        </is>
      </c>
      <c r="C64" s="8" t="n">
        <v>940</v>
      </c>
      <c r="D64" s="14" t="n">
        <v>1.16</v>
      </c>
      <c r="E64" s="8" t="n">
        <v>438</v>
      </c>
      <c r="F64" s="9" t="n">
        <v>1769.1</v>
      </c>
      <c r="G64" s="8" t="n">
        <v>746</v>
      </c>
      <c r="H64" s="11" t="n">
        <v>79.40000000000001</v>
      </c>
    </row>
    <row r="65">
      <c r="A65" s="7" t="inlineStr">
        <is>
          <t>(Unknown)</t>
        </is>
      </c>
      <c r="B65" s="7" t="inlineStr">
        <is>
          <t>(Unknown)</t>
        </is>
      </c>
      <c r="C65" s="8" t="n">
        <v>921</v>
      </c>
      <c r="D65" s="14" t="n">
        <v>1.14</v>
      </c>
      <c r="E65" s="8" t="n">
        <v>184</v>
      </c>
      <c r="F65" s="8" t="n">
        <v>773</v>
      </c>
      <c r="G65" s="8" t="n">
        <v>844</v>
      </c>
      <c r="H65" s="11" t="n">
        <v>91.59999999999999</v>
      </c>
    </row>
    <row r="66">
      <c r="A66" s="7" t="inlineStr">
        <is>
          <t>KEARNY MESA</t>
        </is>
      </c>
      <c r="B66" s="7" t="inlineStr">
        <is>
          <t>6</t>
        </is>
      </c>
      <c r="C66" s="8" t="n">
        <v>909</v>
      </c>
      <c r="D66" s="14" t="n">
        <v>1.12</v>
      </c>
      <c r="E66" s="8" t="n">
        <v>411</v>
      </c>
      <c r="F66" s="9" t="n">
        <v>1814.8</v>
      </c>
      <c r="G66" s="8" t="n">
        <v>696</v>
      </c>
      <c r="H66" s="11" t="n">
        <v>76.59999999999999</v>
      </c>
    </row>
    <row r="67">
      <c r="A67" s="7" t="inlineStr">
        <is>
          <t>OTAY MESA</t>
        </is>
      </c>
      <c r="B67" s="7" t="inlineStr">
        <is>
          <t>8</t>
        </is>
      </c>
      <c r="C67" s="8" t="n">
        <v>739</v>
      </c>
      <c r="D67" s="14" t="n">
        <v>0.91</v>
      </c>
      <c r="E67" s="8" t="n">
        <v>328</v>
      </c>
      <c r="F67" s="9" t="n">
        <v>1541.4</v>
      </c>
      <c r="G67" s="8" t="n">
        <v>480</v>
      </c>
      <c r="H67" s="11" t="n">
        <v>65</v>
      </c>
    </row>
    <row r="68">
      <c r="A68" s="7" t="inlineStr">
        <is>
          <t>BARRIO LOGAN</t>
        </is>
      </c>
      <c r="B68" s="7" t="inlineStr">
        <is>
          <t>8</t>
        </is>
      </c>
      <c r="C68" s="8" t="n">
        <v>694</v>
      </c>
      <c r="D68" s="14" t="n">
        <v>0.86</v>
      </c>
      <c r="E68" s="8" t="n">
        <v>444</v>
      </c>
      <c r="F68" s="8" t="n">
        <v>1503</v>
      </c>
      <c r="G68" s="8" t="n">
        <v>538</v>
      </c>
      <c r="H68" s="11" t="n">
        <v>77.5</v>
      </c>
    </row>
    <row r="69">
      <c r="A69" s="7" t="inlineStr">
        <is>
          <t>SAN YSIDRO</t>
        </is>
      </c>
      <c r="B69" s="7" t="inlineStr">
        <is>
          <t>8</t>
        </is>
      </c>
      <c r="C69" s="8" t="n">
        <v>692</v>
      </c>
      <c r="D69" s="14" t="n">
        <v>0.85</v>
      </c>
      <c r="E69" s="9" t="n">
        <v>276.5</v>
      </c>
      <c r="F69" s="8" t="n">
        <v>1259</v>
      </c>
      <c r="G69" s="8" t="n">
        <v>473</v>
      </c>
      <c r="H69" s="11" t="n">
        <v>68.40000000000001</v>
      </c>
    </row>
    <row r="70">
      <c r="A70" s="7" t="inlineStr">
        <is>
          <t>MIRAMAR RANCH NORTH</t>
        </is>
      </c>
      <c r="B70" s="7" t="inlineStr">
        <is>
          <t>5</t>
        </is>
      </c>
      <c r="C70" s="8" t="n">
        <v>549</v>
      </c>
      <c r="D70" s="14" t="n">
        <v>0.68</v>
      </c>
      <c r="E70" s="8" t="n">
        <v>486</v>
      </c>
      <c r="F70" s="9" t="n">
        <v>1733.2</v>
      </c>
      <c r="G70" s="8" t="n">
        <v>465</v>
      </c>
      <c r="H70" s="11" t="n">
        <v>84.7</v>
      </c>
    </row>
    <row r="71">
      <c r="A71" s="7" t="inlineStr">
        <is>
          <t>TORREY PINES</t>
        </is>
      </c>
      <c r="B71" s="7" t="inlineStr">
        <is>
          <t>1</t>
        </is>
      </c>
      <c r="C71" s="8" t="n">
        <v>510</v>
      </c>
      <c r="D71" s="14" t="n">
        <v>0.63</v>
      </c>
      <c r="E71" s="9" t="n">
        <v>507.5</v>
      </c>
      <c r="F71" s="9" t="n">
        <v>1525.6</v>
      </c>
      <c r="G71" s="8" t="n">
        <v>439</v>
      </c>
      <c r="H71" s="11" t="n">
        <v>86.09999999999999</v>
      </c>
    </row>
    <row r="72">
      <c r="A72" s="7" t="inlineStr">
        <is>
          <t>CARMEL MOUNTAIN RANCH</t>
        </is>
      </c>
      <c r="B72" s="7" t="inlineStr">
        <is>
          <t>5</t>
        </is>
      </c>
      <c r="C72" s="8" t="n">
        <v>450</v>
      </c>
      <c r="D72" s="14" t="n">
        <v>0.5600000000000001</v>
      </c>
      <c r="E72" s="9" t="n">
        <v>469.5</v>
      </c>
      <c r="F72" s="9" t="n">
        <v>1434.5</v>
      </c>
      <c r="G72" s="8" t="n">
        <v>360</v>
      </c>
      <c r="H72" s="11" t="n">
        <v>80</v>
      </c>
    </row>
    <row r="73">
      <c r="A73" s="7" t="inlineStr">
        <is>
          <t>TORREY HIGHLANDS</t>
        </is>
      </c>
      <c r="B73" s="7" t="inlineStr">
        <is>
          <t>5</t>
        </is>
      </c>
      <c r="C73" s="8" t="n">
        <v>403</v>
      </c>
      <c r="D73" s="14" t="n">
        <v>0.5</v>
      </c>
      <c r="E73" s="8" t="n">
        <v>585</v>
      </c>
      <c r="F73" s="9" t="n">
        <v>1873.6</v>
      </c>
      <c r="G73" s="8" t="n">
        <v>341</v>
      </c>
      <c r="H73" s="11" t="n">
        <v>84.59999999999999</v>
      </c>
    </row>
    <row r="74">
      <c r="A74" s="7" t="inlineStr">
        <is>
          <t>BLACK MOUNTAIN RANCH</t>
        </is>
      </c>
      <c r="B74" s="7" t="inlineStr">
        <is>
          <t>5</t>
        </is>
      </c>
      <c r="C74" s="8" t="n">
        <v>373</v>
      </c>
      <c r="D74" s="14" t="n">
        <v>0.46</v>
      </c>
      <c r="E74" s="8" t="n">
        <v>551</v>
      </c>
      <c r="F74" s="9" t="n">
        <v>1420.200000000001</v>
      </c>
      <c r="G74" s="8" t="n">
        <v>311</v>
      </c>
      <c r="H74" s="11" t="n">
        <v>83.40000000000001</v>
      </c>
    </row>
    <row r="75">
      <c r="A75" s="7" t="inlineStr">
        <is>
          <t>SABRE SPRINGS</t>
        </is>
      </c>
      <c r="B75" s="7" t="inlineStr">
        <is>
          <t>5</t>
        </is>
      </c>
      <c r="C75" s="8" t="n">
        <v>339</v>
      </c>
      <c r="D75" s="14" t="n">
        <v>0.42</v>
      </c>
      <c r="E75" s="8" t="n">
        <v>620</v>
      </c>
      <c r="F75" s="8" t="n">
        <v>1580</v>
      </c>
      <c r="G75" s="8" t="n">
        <v>283</v>
      </c>
      <c r="H75" s="11" t="n">
        <v>83.5</v>
      </c>
    </row>
    <row r="76">
      <c r="A76" s="7" t="inlineStr">
        <is>
          <t>OLD TOWN SAN DIEGO</t>
        </is>
      </c>
      <c r="B76" s="7" t="inlineStr">
        <is>
          <t>2</t>
        </is>
      </c>
      <c r="C76" s="8" t="n">
        <v>249</v>
      </c>
      <c r="D76" s="14" t="n">
        <v>0.31</v>
      </c>
      <c r="E76" s="8" t="n">
        <v>292</v>
      </c>
      <c r="F76" s="9" t="n">
        <v>1440.200000000001</v>
      </c>
      <c r="G76" s="8" t="n">
        <v>196</v>
      </c>
      <c r="H76" s="11" t="n">
        <v>78.7</v>
      </c>
    </row>
    <row r="77">
      <c r="A77" s="7" t="inlineStr">
        <is>
          <t>RANCHO ENCANTADA</t>
        </is>
      </c>
      <c r="B77" s="7" t="inlineStr">
        <is>
          <t>6</t>
        </is>
      </c>
      <c r="C77" s="8" t="n">
        <v>219</v>
      </c>
      <c r="D77" s="14" t="n">
        <v>0.27</v>
      </c>
      <c r="E77" s="8" t="n">
        <v>279</v>
      </c>
      <c r="F77" s="9" t="n">
        <v>2085</v>
      </c>
      <c r="G77" s="8" t="n">
        <v>175</v>
      </c>
      <c r="H77" s="11" t="n">
        <v>79.90000000000001</v>
      </c>
    </row>
    <row r="78">
      <c r="A78" s="7" t="inlineStr">
        <is>
          <t>TORREY HILLS</t>
        </is>
      </c>
      <c r="B78" s="7" t="inlineStr">
        <is>
          <t>1</t>
        </is>
      </c>
      <c r="C78" s="8" t="n">
        <v>206</v>
      </c>
      <c r="D78" s="14" t="n">
        <v>0.25</v>
      </c>
      <c r="E78" s="8" t="n">
        <v>588</v>
      </c>
      <c r="F78" s="9" t="n">
        <v>1709.5</v>
      </c>
      <c r="G78" s="8" t="n">
        <v>183</v>
      </c>
      <c r="H78" s="11" t="n">
        <v>88.8</v>
      </c>
    </row>
    <row r="79">
      <c r="A79" s="7" t="inlineStr">
        <is>
          <t>PACIFIC HIGHLANDS RANCH</t>
        </is>
      </c>
      <c r="B79" s="7" t="inlineStr">
        <is>
          <t>1</t>
        </is>
      </c>
      <c r="C79" s="8" t="n">
        <v>198</v>
      </c>
      <c r="D79" s="14" t="n">
        <v>0.24</v>
      </c>
      <c r="E79" s="8" t="n">
        <v>417</v>
      </c>
      <c r="F79" s="9" t="n">
        <v>1375.000000000001</v>
      </c>
      <c r="G79" s="8" t="n">
        <v>148</v>
      </c>
      <c r="H79" s="11" t="n">
        <v>74.7</v>
      </c>
    </row>
    <row r="80">
      <c r="A80" s="7" t="inlineStr">
        <is>
          <t>RESERVE AREA-Not a community plan</t>
        </is>
      </c>
      <c r="B80" s="7" t="inlineStr">
        <is>
          <t>1</t>
        </is>
      </c>
      <c r="C80" s="8" t="n">
        <v>131</v>
      </c>
      <c r="D80" s="14" t="n">
        <v>0.16</v>
      </c>
      <c r="E80" s="8" t="n">
        <v>399</v>
      </c>
      <c r="F80" s="8" t="n">
        <v>1311</v>
      </c>
      <c r="G80" s="8" t="n">
        <v>113</v>
      </c>
      <c r="H80" s="11" t="n">
        <v>86.3</v>
      </c>
    </row>
  </sheetData>
  <conditionalFormatting sqref="E6:E15">
    <cfRule type="colorScale" priority="1">
      <colorScale>
        <cfvo type="min"/>
        <cfvo type="max"/>
        <color rgb="FFFFFFFF"/>
        <color rgb="FFEB6834"/>
      </colorScale>
    </cfRule>
  </conditionalFormatting>
  <conditionalFormatting sqref="G19:G28">
    <cfRule type="cellIs" priority="2" operator="greaterThan" dxfId="2">
      <formula>1</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J128"/>
  <sheetViews>
    <sheetView showGridLines="0" workbookViewId="0">
      <pane ySplit="1" topLeftCell="A2" activePane="bottomLeft" state="frozen"/>
      <selection pane="bottomLeft" activeCell="A1" sqref="A1"/>
    </sheetView>
  </sheetViews>
  <sheetFormatPr baseColWidth="8" defaultRowHeight="15"/>
  <cols>
    <col width="11" customWidth="1" min="1" max="1"/>
    <col width="30" customWidth="1" min="2" max="2"/>
    <col width="19" customWidth="1" min="3" max="3"/>
    <col width="17" customWidth="1" min="4" max="4"/>
    <col width="11" customWidth="1" min="5" max="5"/>
    <col width="13" customWidth="1" min="6" max="6"/>
    <col width="20" customWidth="1" min="7" max="7"/>
    <col width="27" customWidth="1" min="8" max="8"/>
    <col width="17" customWidth="1" min="9" max="9"/>
    <col width="46" customWidth="1" min="10" max="10"/>
  </cols>
  <sheetData>
    <row r="1">
      <c r="A1" s="12" t="inlineStr">
        <is>
          <t>Age profile of the active queue</t>
        </is>
      </c>
    </row>
    <row r="2">
      <c r="A2" s="2" t="inlineStr">
        <is>
          <t>Active age = snapshot date minus request date. It measures how long a request has been open, not how long any work took.</t>
        </is>
      </c>
    </row>
    <row r="3">
      <c r="A3" s="13" t="inlineStr">
        <is>
          <t>Q1, Q12 - how old the queue is and which cells to look at first.</t>
        </is>
      </c>
    </row>
    <row r="5" ht="30" customHeight="1">
      <c r="A5" s="6" t="inlineStr">
        <is>
          <t>Age bucket (days)</t>
        </is>
      </c>
      <c r="B5" s="6" t="inlineStr">
        <is>
          <t>Active records</t>
        </is>
      </c>
      <c r="C5" s="6" t="inlineStr">
        <is>
          <t>Distinct issues</t>
        </is>
      </c>
      <c r="D5" s="6" t="inlineStr">
        <is>
          <t>Median age (days)</t>
        </is>
      </c>
      <c r="E5" s="6" t="inlineStr">
        <is>
          <t>% of backlog</t>
        </is>
      </c>
      <c r="F5" s="6" t="inlineStr">
        <is>
          <t>Cumulative records</t>
        </is>
      </c>
      <c r="G5" s="6" t="inlineStr">
        <is>
          <t>Cumulative %</t>
        </is>
      </c>
    </row>
    <row r="6">
      <c r="A6" s="7" t="inlineStr">
        <is>
          <t>0-7</t>
        </is>
      </c>
      <c r="B6" s="8" t="n">
        <v>4662</v>
      </c>
      <c r="C6" s="8" t="n">
        <v>4278</v>
      </c>
      <c r="D6" s="8" t="n">
        <v>3</v>
      </c>
      <c r="E6" s="11" t="n">
        <v>5.7</v>
      </c>
      <c r="F6" s="8" t="n">
        <v>4662</v>
      </c>
      <c r="G6" s="11" t="n">
        <v>5.7</v>
      </c>
    </row>
    <row r="7">
      <c r="A7" s="7" t="inlineStr">
        <is>
          <t>8-30</t>
        </is>
      </c>
      <c r="B7" s="8" t="n">
        <v>6595</v>
      </c>
      <c r="C7" s="8" t="n">
        <v>5968</v>
      </c>
      <c r="D7" s="8" t="n">
        <v>17</v>
      </c>
      <c r="E7" s="11" t="n">
        <v>8.1</v>
      </c>
      <c r="F7" s="8" t="n">
        <v>11257</v>
      </c>
      <c r="G7" s="11" t="n">
        <v>13.8</v>
      </c>
    </row>
    <row r="8">
      <c r="A8" s="7" t="inlineStr">
        <is>
          <t>31-60</t>
        </is>
      </c>
      <c r="B8" s="8" t="n">
        <v>4607</v>
      </c>
      <c r="C8" s="8" t="n">
        <v>4148</v>
      </c>
      <c r="D8" s="8" t="n">
        <v>44</v>
      </c>
      <c r="E8" s="11" t="n">
        <v>5.7</v>
      </c>
      <c r="F8" s="8" t="n">
        <v>15864</v>
      </c>
      <c r="G8" s="11" t="n">
        <v>19.5</v>
      </c>
    </row>
    <row r="9">
      <c r="A9" s="7" t="inlineStr">
        <is>
          <t>61-90</t>
        </is>
      </c>
      <c r="B9" s="8" t="n">
        <v>3674</v>
      </c>
      <c r="C9" s="8" t="n">
        <v>3187</v>
      </c>
      <c r="D9" s="8" t="n">
        <v>74</v>
      </c>
      <c r="E9" s="11" t="n">
        <v>4.5</v>
      </c>
      <c r="F9" s="8" t="n">
        <v>19538</v>
      </c>
      <c r="G9" s="11" t="n">
        <v>24</v>
      </c>
    </row>
    <row r="10">
      <c r="A10" s="7" t="inlineStr">
        <is>
          <t>91-180</t>
        </is>
      </c>
      <c r="B10" s="8" t="n">
        <v>8000</v>
      </c>
      <c r="C10" s="8" t="n">
        <v>6913</v>
      </c>
      <c r="D10" s="8" t="n">
        <v>132</v>
      </c>
      <c r="E10" s="11" t="n">
        <v>9.800000000000001</v>
      </c>
      <c r="F10" s="8" t="n">
        <v>27538</v>
      </c>
      <c r="G10" s="11" t="n">
        <v>33.8</v>
      </c>
    </row>
    <row r="11">
      <c r="A11" s="7" t="inlineStr">
        <is>
          <t>181-365</t>
        </is>
      </c>
      <c r="B11" s="8" t="n">
        <v>12373</v>
      </c>
      <c r="C11" s="8" t="n">
        <v>10652</v>
      </c>
      <c r="D11" s="8" t="n">
        <v>259</v>
      </c>
      <c r="E11" s="11" t="n">
        <v>15.2</v>
      </c>
      <c r="F11" s="8" t="n">
        <v>39911</v>
      </c>
      <c r="G11" s="11" t="n">
        <v>49.1</v>
      </c>
    </row>
    <row r="12">
      <c r="A12" s="7" t="inlineStr">
        <is>
          <t>366-730</t>
        </is>
      </c>
      <c r="B12" s="8" t="n">
        <v>15060</v>
      </c>
      <c r="C12" s="8" t="n">
        <v>12264</v>
      </c>
      <c r="D12" s="8" t="n">
        <v>533</v>
      </c>
      <c r="E12" s="11" t="n">
        <v>18.5</v>
      </c>
      <c r="F12" s="8" t="n">
        <v>54971</v>
      </c>
      <c r="G12" s="11" t="n">
        <v>67.59999999999999</v>
      </c>
    </row>
    <row r="13">
      <c r="A13" s="7" t="inlineStr">
        <is>
          <t>731+</t>
        </is>
      </c>
      <c r="B13" s="8" t="n">
        <v>26388</v>
      </c>
      <c r="C13" s="8" t="n">
        <v>18555</v>
      </c>
      <c r="D13" s="8" t="n">
        <v>1327</v>
      </c>
      <c r="E13" s="11" t="n">
        <v>32.4</v>
      </c>
      <c r="F13" s="8" t="n">
        <v>81359</v>
      </c>
      <c r="G13" s="11" t="n">
        <v>100</v>
      </c>
    </row>
    <row r="32">
      <c r="A32" s="5" t="inlineStr">
        <is>
          <t>Investigation priority - a triage order, not a performance ranking</t>
        </is>
      </c>
    </row>
    <row r="33" ht="30" customHeight="1">
      <c r="A33" s="6" t="inlineStr">
        <is>
          <t>Rank</t>
        </is>
      </c>
      <c r="B33" s="6" t="inlineStr">
        <is>
          <t>Service category</t>
        </is>
      </c>
      <c r="C33" s="6" t="inlineStr">
        <is>
          <t>Active records</t>
        </is>
      </c>
      <c r="D33" s="6" t="inlineStr">
        <is>
          <t>Median age (days)</t>
        </is>
      </c>
      <c r="E33" s="6" t="inlineStr">
        <is>
          <t>P90 age (days)</t>
        </is>
      </c>
      <c r="F33" s="6" t="inlineStr">
        <is>
          <t>Aged 90+</t>
        </is>
      </c>
      <c r="G33" s="6" t="inlineStr">
        <is>
          <t>% of own queue aged 90+</t>
        </is>
      </c>
      <c r="H33" s="6" t="inlineStr">
        <is>
          <t>% of citywide 90+ inventory</t>
        </is>
      </c>
      <c r="I33" s="6" t="inlineStr">
        <is>
          <t>Priority score</t>
        </is>
      </c>
      <c r="J33" s="6" t="inlineStr">
        <is>
          <t>Why flagged</t>
        </is>
      </c>
    </row>
    <row r="34">
      <c r="A34" s="7" t="n">
        <v>1</v>
      </c>
      <c r="B34" s="7" t="inlineStr">
        <is>
          <t>Sidewalk Repair Issue</t>
        </is>
      </c>
      <c r="C34" s="8" t="n">
        <v>14614</v>
      </c>
      <c r="D34" s="8" t="n">
        <v>1090</v>
      </c>
      <c r="E34" s="8" t="n">
        <v>2617</v>
      </c>
      <c r="F34" s="8" t="n">
        <v>13839</v>
      </c>
      <c r="G34" s="11" t="n">
        <v>94.7</v>
      </c>
      <c r="H34" s="11" t="n">
        <v>22.3</v>
      </c>
      <c r="I34" s="11" t="n">
        <v>93.7</v>
      </c>
      <c r="J34" s="7" t="inlineStr">
        <is>
          <t>Large share of the aged backlog and almost the entire queue is aged</t>
        </is>
      </c>
    </row>
    <row r="35">
      <c r="A35" s="7" t="n">
        <v>2</v>
      </c>
      <c r="B35" s="7" t="inlineStr">
        <is>
          <t>Pavement Maintenance</t>
        </is>
      </c>
      <c r="C35" s="8" t="n">
        <v>5590</v>
      </c>
      <c r="D35" s="9" t="n">
        <v>1295.5</v>
      </c>
      <c r="E35" s="9" t="n">
        <v>2710.1</v>
      </c>
      <c r="F35" s="8" t="n">
        <v>5351</v>
      </c>
      <c r="G35" s="11" t="n">
        <v>95.7</v>
      </c>
      <c r="H35" s="11" t="n">
        <v>8.6</v>
      </c>
      <c r="I35" s="11" t="n">
        <v>91.09999999999999</v>
      </c>
      <c r="J35" s="7" t="inlineStr">
        <is>
          <t>Nearly all active requests in this category are 90+ days old</t>
        </is>
      </c>
    </row>
    <row r="36">
      <c r="A36" s="7" t="n">
        <v>3</v>
      </c>
      <c r="B36" s="7" t="inlineStr">
        <is>
          <t>Street Light Maintenance</t>
        </is>
      </c>
      <c r="C36" s="8" t="n">
        <v>13665</v>
      </c>
      <c r="D36" s="8" t="n">
        <v>467</v>
      </c>
      <c r="E36" s="9" t="n">
        <v>1358.6</v>
      </c>
      <c r="F36" s="8" t="n">
        <v>12328</v>
      </c>
      <c r="G36" s="11" t="n">
        <v>90.2</v>
      </c>
      <c r="H36" s="11" t="n">
        <v>19.9</v>
      </c>
      <c r="I36" s="11" t="n">
        <v>86.09999999999999</v>
      </c>
      <c r="J36" s="7" t="inlineStr">
        <is>
          <t>Large share of the aged backlog and almost the entire queue is aged</t>
        </is>
      </c>
    </row>
    <row r="37">
      <c r="A37" s="7" t="n">
        <v>4</v>
      </c>
      <c r="B37" s="7" t="inlineStr">
        <is>
          <t>ROW Maintenance</t>
        </is>
      </c>
      <c r="C37" s="8" t="n">
        <v>10245</v>
      </c>
      <c r="D37" s="8" t="n">
        <v>450</v>
      </c>
      <c r="E37" s="8" t="n">
        <v>1312</v>
      </c>
      <c r="F37" s="8" t="n">
        <v>8782</v>
      </c>
      <c r="G37" s="11" t="n">
        <v>85.7</v>
      </c>
      <c r="H37" s="11" t="n">
        <v>14.2</v>
      </c>
      <c r="I37" s="11" t="n">
        <v>80.2</v>
      </c>
      <c r="J37" s="7" t="inlineStr">
        <is>
          <t>Large share of the aged backlog and almost the entire queue is aged</t>
        </is>
      </c>
    </row>
    <row r="38">
      <c r="A38" s="7" t="n">
        <v>5</v>
      </c>
      <c r="B38" s="7" t="inlineStr">
        <is>
          <t>Stormwater</t>
        </is>
      </c>
      <c r="C38" s="8" t="n">
        <v>2337</v>
      </c>
      <c r="D38" s="8" t="n">
        <v>874</v>
      </c>
      <c r="E38" s="9" t="n">
        <v>2141</v>
      </c>
      <c r="F38" s="8" t="n">
        <v>2087</v>
      </c>
      <c r="G38" s="11" t="n">
        <v>89.3</v>
      </c>
      <c r="H38" s="11" t="n">
        <v>3.4</v>
      </c>
      <c r="I38" s="11" t="n">
        <v>76.5</v>
      </c>
      <c r="J38" s="7" t="inlineStr">
        <is>
          <t>Nearly all active requests in this category are 90+ days old</t>
        </is>
      </c>
    </row>
    <row r="39">
      <c r="A39" s="7" t="n">
        <v>6</v>
      </c>
      <c r="B39" s="7" t="inlineStr">
        <is>
          <t>Development Services - Code Enforcement</t>
        </is>
      </c>
      <c r="C39" s="8" t="n">
        <v>1101</v>
      </c>
      <c r="D39" s="8" t="n">
        <v>488</v>
      </c>
      <c r="E39" s="8" t="n">
        <v>2378</v>
      </c>
      <c r="F39" s="8" t="n">
        <v>1101</v>
      </c>
      <c r="G39" s="11" t="n">
        <v>100</v>
      </c>
      <c r="H39" s="11" t="n">
        <v>1.8</v>
      </c>
      <c r="I39" s="11" t="n">
        <v>75.40000000000001</v>
      </c>
      <c r="J39" s="7" t="inlineStr">
        <is>
          <t>Nearly all active requests in this category are 90+ days old</t>
        </is>
      </c>
    </row>
    <row r="40">
      <c r="A40" s="7" t="n">
        <v>7</v>
      </c>
      <c r="B40" s="7" t="inlineStr">
        <is>
          <t>Traffic Sign Maintenance</t>
        </is>
      </c>
      <c r="C40" s="8" t="n">
        <v>706</v>
      </c>
      <c r="D40" s="9" t="n">
        <v>1146.5</v>
      </c>
      <c r="E40" s="9" t="n">
        <v>1453.5</v>
      </c>
      <c r="F40" s="8" t="n">
        <v>706</v>
      </c>
      <c r="G40" s="11" t="n">
        <v>100</v>
      </c>
      <c r="H40" s="11" t="n">
        <v>1.1</v>
      </c>
      <c r="I40" s="11" t="n">
        <v>72.2</v>
      </c>
      <c r="J40" s="7" t="inlineStr">
        <is>
          <t>Nearly all active requests in this category are 90+ days old</t>
        </is>
      </c>
    </row>
    <row r="41">
      <c r="A41" s="7" t="n">
        <v>8</v>
      </c>
      <c r="B41" s="7" t="inlineStr">
        <is>
          <t>Parks Issue</t>
        </is>
      </c>
      <c r="C41" s="8" t="n">
        <v>4030</v>
      </c>
      <c r="D41" s="8" t="n">
        <v>203</v>
      </c>
      <c r="E41" s="9" t="n">
        <v>1133.1</v>
      </c>
      <c r="F41" s="8" t="n">
        <v>2631</v>
      </c>
      <c r="G41" s="11" t="n">
        <v>65.3</v>
      </c>
      <c r="H41" s="11" t="n">
        <v>4.2</v>
      </c>
      <c r="I41" s="11" t="n">
        <v>63.7</v>
      </c>
      <c r="J41" s="7" t="inlineStr">
        <is>
          <t>Mid-range on volume and aging</t>
        </is>
      </c>
    </row>
    <row r="42">
      <c r="A42" s="7" t="n">
        <v>9</v>
      </c>
      <c r="B42" s="7" t="inlineStr">
        <is>
          <t>Vegetation Encroachment</t>
        </is>
      </c>
      <c r="C42" s="8" t="n">
        <v>2910</v>
      </c>
      <c r="D42" s="8" t="n">
        <v>239</v>
      </c>
      <c r="E42" s="9" t="n">
        <v>818.2999999999997</v>
      </c>
      <c r="F42" s="8" t="n">
        <v>2034</v>
      </c>
      <c r="G42" s="11" t="n">
        <v>69.90000000000001</v>
      </c>
      <c r="H42" s="11" t="n">
        <v>3.3</v>
      </c>
      <c r="I42" s="11" t="n">
        <v>62.6</v>
      </c>
      <c r="J42" s="7" t="inlineStr">
        <is>
          <t>Mid-range on volume and aging</t>
        </is>
      </c>
    </row>
    <row r="43">
      <c r="A43" s="7" t="n">
        <v>10</v>
      </c>
      <c r="B43" s="7" t="inlineStr">
        <is>
          <t>Graffiti - Code Enforcement</t>
        </is>
      </c>
      <c r="C43" s="8" t="n">
        <v>3774</v>
      </c>
      <c r="D43" s="8" t="n">
        <v>195</v>
      </c>
      <c r="E43" s="8" t="n">
        <v>716</v>
      </c>
      <c r="F43" s="8" t="n">
        <v>2611</v>
      </c>
      <c r="G43" s="11" t="n">
        <v>69.2</v>
      </c>
      <c r="H43" s="11" t="n">
        <v>4.2</v>
      </c>
      <c r="I43" s="11" t="n">
        <v>61.5</v>
      </c>
      <c r="J43" s="7" t="inlineStr">
        <is>
          <t>Mid-range on volume and aging</t>
        </is>
      </c>
    </row>
    <row r="44">
      <c r="A44" s="7" t="n">
        <v>11</v>
      </c>
      <c r="B44" s="7" t="inlineStr">
        <is>
          <t>Traffic Engineering</t>
        </is>
      </c>
      <c r="C44" s="8" t="n">
        <v>1784</v>
      </c>
      <c r="D44" s="8" t="n">
        <v>201</v>
      </c>
      <c r="E44" s="8" t="n">
        <v>1181</v>
      </c>
      <c r="F44" s="8" t="n">
        <v>1257</v>
      </c>
      <c r="G44" s="11" t="n">
        <v>70.5</v>
      </c>
      <c r="H44" s="11" t="n">
        <v>2</v>
      </c>
      <c r="I44" s="11" t="n">
        <v>59.6</v>
      </c>
      <c r="J44" s="7" t="inlineStr">
        <is>
          <t>Mid-range on volume and aging</t>
        </is>
      </c>
    </row>
    <row r="45">
      <c r="A45" s="7" t="n">
        <v>12</v>
      </c>
      <c r="B45" s="7" t="inlineStr">
        <is>
          <t>Building and Land Use Enforcement</t>
        </is>
      </c>
      <c r="C45" s="8" t="n">
        <v>1612</v>
      </c>
      <c r="D45" s="8" t="n">
        <v>186</v>
      </c>
      <c r="E45" s="8" t="n">
        <v>473</v>
      </c>
      <c r="F45" s="8" t="n">
        <v>1248</v>
      </c>
      <c r="G45" s="11" t="n">
        <v>77.40000000000001</v>
      </c>
      <c r="H45" s="11" t="n">
        <v>2</v>
      </c>
      <c r="I45" s="11" t="n">
        <v>58.9</v>
      </c>
      <c r="J45" s="7" t="inlineStr">
        <is>
          <t>Mid-range on volume and aging</t>
        </is>
      </c>
    </row>
    <row r="46">
      <c r="A46" s="7" t="n">
        <v>13</v>
      </c>
      <c r="B46" s="7" t="inlineStr">
        <is>
          <t>(Unclassified)</t>
        </is>
      </c>
      <c r="C46" s="8" t="n">
        <v>741</v>
      </c>
      <c r="D46" s="8" t="n">
        <v>184</v>
      </c>
      <c r="E46" s="8" t="n">
        <v>185</v>
      </c>
      <c r="F46" s="8" t="n">
        <v>677</v>
      </c>
      <c r="G46" s="11" t="n">
        <v>91.40000000000001</v>
      </c>
      <c r="H46" s="11" t="n">
        <v>1.1</v>
      </c>
      <c r="I46" s="11" t="n">
        <v>50.4</v>
      </c>
      <c r="J46" s="7" t="inlineStr">
        <is>
          <t>Nearly all active requests in this category are 90+ days old</t>
        </is>
      </c>
    </row>
    <row r="47">
      <c r="A47" s="7" t="n">
        <v>14</v>
      </c>
      <c r="B47" s="7" t="inlineStr">
        <is>
          <t>Street Sweeping</t>
        </is>
      </c>
      <c r="C47" s="8" t="n">
        <v>647</v>
      </c>
      <c r="D47" s="8" t="n">
        <v>279</v>
      </c>
      <c r="E47" s="9" t="n">
        <v>1079.2</v>
      </c>
      <c r="F47" s="8" t="n">
        <v>477</v>
      </c>
      <c r="G47" s="11" t="n">
        <v>73.7</v>
      </c>
      <c r="H47" s="11" t="n">
        <v>0.8</v>
      </c>
      <c r="I47" s="11" t="n">
        <v>41.1</v>
      </c>
      <c r="J47" s="7" t="inlineStr">
        <is>
          <t>Mid-range on volume and aging</t>
        </is>
      </c>
    </row>
    <row r="48">
      <c r="A48" s="7" t="n">
        <v>15</v>
      </c>
      <c r="B48" s="7" t="inlineStr">
        <is>
          <t>Tree Maintenance</t>
        </is>
      </c>
      <c r="C48" s="8" t="n">
        <v>1289</v>
      </c>
      <c r="D48" s="8" t="n">
        <v>158</v>
      </c>
      <c r="E48" s="9" t="n">
        <v>821.6000000000001</v>
      </c>
      <c r="F48" s="8" t="n">
        <v>772</v>
      </c>
      <c r="G48" s="11" t="n">
        <v>59.9</v>
      </c>
      <c r="H48" s="11" t="n">
        <v>1.2</v>
      </c>
      <c r="I48" s="11" t="n">
        <v>38</v>
      </c>
      <c r="J48" s="7" t="inlineStr">
        <is>
          <t>Mid-range on volume and aging</t>
        </is>
      </c>
    </row>
    <row r="49">
      <c r="A49" s="7" t="n">
        <v>16</v>
      </c>
      <c r="B49" s="7" t="inlineStr">
        <is>
          <t>STRO Violation</t>
        </is>
      </c>
      <c r="C49" s="8" t="n">
        <v>1378</v>
      </c>
      <c r="D49" s="8" t="n">
        <v>139</v>
      </c>
      <c r="E49" s="8" t="n">
        <v>564</v>
      </c>
      <c r="F49" s="8" t="n">
        <v>760</v>
      </c>
      <c r="G49" s="11" t="n">
        <v>55.2</v>
      </c>
      <c r="H49" s="11" t="n">
        <v>1.2</v>
      </c>
      <c r="I49" s="11" t="n">
        <v>32</v>
      </c>
      <c r="J49" s="7" t="inlineStr">
        <is>
          <t>Mid-range on volume and aging</t>
        </is>
      </c>
    </row>
    <row r="50">
      <c r="A50" s="7" t="n">
        <v>17</v>
      </c>
      <c r="B50" s="7" t="inlineStr">
        <is>
          <t>Graffiti - Private</t>
        </is>
      </c>
      <c r="C50" s="8" t="n">
        <v>1109</v>
      </c>
      <c r="D50" s="8" t="n">
        <v>121</v>
      </c>
      <c r="E50" s="9" t="n">
        <v>511.6000000000003</v>
      </c>
      <c r="F50" s="8" t="n">
        <v>685</v>
      </c>
      <c r="G50" s="11" t="n">
        <v>61.8</v>
      </c>
      <c r="H50" s="11" t="n">
        <v>1.1</v>
      </c>
      <c r="I50" s="11" t="n">
        <v>31.7</v>
      </c>
      <c r="J50" s="7" t="inlineStr">
        <is>
          <t>Mid-range on volume and aging</t>
        </is>
      </c>
    </row>
    <row r="51">
      <c r="A51" s="7" t="n">
        <v>18</v>
      </c>
      <c r="B51" s="7" t="inlineStr">
        <is>
          <t>Environmental Services Code Compliance</t>
        </is>
      </c>
      <c r="C51" s="8" t="n">
        <v>1079</v>
      </c>
      <c r="D51" s="8" t="n">
        <v>155</v>
      </c>
      <c r="E51" s="9" t="n">
        <v>537.8000000000004</v>
      </c>
      <c r="F51" s="8" t="n">
        <v>668</v>
      </c>
      <c r="G51" s="11" t="n">
        <v>61.9</v>
      </c>
      <c r="H51" s="11" t="n">
        <v>1.1</v>
      </c>
      <c r="I51" s="11" t="n">
        <v>30</v>
      </c>
      <c r="J51" s="7" t="inlineStr">
        <is>
          <t>Mid-range on volume and aging</t>
        </is>
      </c>
    </row>
    <row r="52">
      <c r="A52" s="7" t="n">
        <v>19</v>
      </c>
      <c r="B52" s="7" t="inlineStr">
        <is>
          <t>Other</t>
        </is>
      </c>
      <c r="C52" s="8" t="n">
        <v>676</v>
      </c>
      <c r="D52" s="8" t="n">
        <v>208</v>
      </c>
      <c r="E52" s="9" t="n">
        <v>1082.5</v>
      </c>
      <c r="F52" s="8" t="n">
        <v>416</v>
      </c>
      <c r="G52" s="11" t="n">
        <v>61.5</v>
      </c>
      <c r="H52" s="11" t="n">
        <v>0.7</v>
      </c>
      <c r="I52" s="11" t="n">
        <v>25.2</v>
      </c>
      <c r="J52" s="7" t="inlineStr">
        <is>
          <t>Mid-range on volume and aging</t>
        </is>
      </c>
    </row>
    <row r="53">
      <c r="A53" s="7" t="n">
        <v>20</v>
      </c>
      <c r="B53" s="7" t="inlineStr">
        <is>
          <t>Stormwater Code Enforcement</t>
        </is>
      </c>
      <c r="C53" s="8" t="n">
        <v>608</v>
      </c>
      <c r="D53" s="8" t="n">
        <v>149</v>
      </c>
      <c r="E53" s="9" t="n">
        <v>538.5000000000003</v>
      </c>
      <c r="F53" s="8" t="n">
        <v>383</v>
      </c>
      <c r="G53" s="11" t="n">
        <v>63</v>
      </c>
      <c r="H53" s="11" t="n">
        <v>0.6</v>
      </c>
      <c r="I53" s="11" t="n">
        <v>20.9</v>
      </c>
      <c r="J53" s="7" t="inlineStr">
        <is>
          <t>Mid-range on volume and aging</t>
        </is>
      </c>
    </row>
    <row r="54">
      <c r="A54" s="7" t="n">
        <v>21</v>
      </c>
      <c r="B54" s="7" t="inlineStr">
        <is>
          <t>Parking - 72-Hours</t>
        </is>
      </c>
      <c r="C54" s="8" t="n">
        <v>4694</v>
      </c>
      <c r="D54" s="8" t="n">
        <v>21</v>
      </c>
      <c r="E54" s="8" t="n">
        <v>140</v>
      </c>
      <c r="F54" s="8" t="n">
        <v>684</v>
      </c>
      <c r="G54" s="11" t="n">
        <v>14.6</v>
      </c>
      <c r="H54" s="11" t="n">
        <v>1.1</v>
      </c>
      <c r="I54" s="11" t="n">
        <v>16.5</v>
      </c>
      <c r="J54" s="7" t="inlineStr">
        <is>
          <t>Most active records are under 90 days; lower priority under this heuristic</t>
        </is>
      </c>
    </row>
    <row r="55">
      <c r="A55" s="7" t="n">
        <v>22</v>
      </c>
      <c r="B55" s="7" t="inlineStr">
        <is>
          <t>Graffiti - Public</t>
        </is>
      </c>
      <c r="C55" s="8" t="n">
        <v>1045</v>
      </c>
      <c r="D55" s="8" t="n">
        <v>89</v>
      </c>
      <c r="E55" s="9" t="n">
        <v>763.6000000000006</v>
      </c>
      <c r="F55" s="8" t="n">
        <v>521</v>
      </c>
      <c r="G55" s="11" t="n">
        <v>49.9</v>
      </c>
      <c r="H55" s="11" t="n">
        <v>0.8</v>
      </c>
      <c r="I55" s="11" t="n">
        <v>15</v>
      </c>
      <c r="J55" s="7" t="inlineStr">
        <is>
          <t>Mid-range on volume and aging</t>
        </is>
      </c>
    </row>
    <row r="56">
      <c r="A56" s="7" t="n">
        <v>23</v>
      </c>
      <c r="B56" s="7" t="inlineStr">
        <is>
          <t>Encampment</t>
        </is>
      </c>
      <c r="C56" s="8" t="n">
        <v>2243</v>
      </c>
      <c r="D56" s="8" t="n">
        <v>15</v>
      </c>
      <c r="E56" s="8" t="n">
        <v>1006</v>
      </c>
      <c r="F56" s="8" t="n">
        <v>645</v>
      </c>
      <c r="G56" s="11" t="n">
        <v>28.8</v>
      </c>
      <c r="H56" s="11" t="n">
        <v>1</v>
      </c>
      <c r="I56" s="11" t="n">
        <v>11.3</v>
      </c>
      <c r="J56" s="7" t="inlineStr">
        <is>
          <t>Most active records are under 90 days; lower priority under this heuristic</t>
        </is>
      </c>
    </row>
    <row r="57">
      <c r="A57" s="7" t="n">
        <v>24</v>
      </c>
      <c r="B57" s="7" t="inlineStr">
        <is>
          <t>Illegal Dumping</t>
        </is>
      </c>
      <c r="C57" s="8" t="n">
        <v>768</v>
      </c>
      <c r="D57" s="9" t="n">
        <v>41.5</v>
      </c>
      <c r="E57" s="8" t="n">
        <v>610</v>
      </c>
      <c r="F57" s="8" t="n">
        <v>315</v>
      </c>
      <c r="G57" s="11" t="n">
        <v>41</v>
      </c>
      <c r="H57" s="11" t="n">
        <v>0.5</v>
      </c>
      <c r="I57" s="11" t="n">
        <v>4.8</v>
      </c>
      <c r="J57" s="7" t="inlineStr">
        <is>
          <t>Mid-range on volume and aging</t>
        </is>
      </c>
    </row>
    <row r="59">
      <c r="A59" s="5" t="inlineStr">
        <is>
          <t>Weight sensitivity - the ranking is a heuristic; these are the top 5 under each weighting tested</t>
        </is>
      </c>
    </row>
    <row r="60" ht="30" customHeight="1">
      <c r="A60" s="6" t="inlineStr">
        <is>
          <t>Weighting scheme</t>
        </is>
      </c>
      <c r="B60" s="6" t="inlineStr">
        <is>
          <t>Rank</t>
        </is>
      </c>
      <c r="C60" s="6" t="inlineStr">
        <is>
          <t>Service category</t>
        </is>
      </c>
      <c r="D60" s="6" t="inlineStr">
        <is>
          <t>Score</t>
        </is>
      </c>
      <c r="E60" s="6" t="inlineStr">
        <is>
          <t>In baseline top 3</t>
        </is>
      </c>
    </row>
    <row r="61">
      <c r="A61" s="7" t="inlineStr">
        <is>
          <t>age-heavy 0.25 / 0.25 / 0.50</t>
        </is>
      </c>
      <c r="B61" s="7" t="n">
        <v>1</v>
      </c>
      <c r="C61" s="7" t="inlineStr">
        <is>
          <t>Pavement Maintenance</t>
        </is>
      </c>
      <c r="D61" s="11" t="n">
        <v>94.59999999999999</v>
      </c>
      <c r="E61" s="7" t="b">
        <v>1</v>
      </c>
    </row>
    <row r="62">
      <c r="A62" s="7" t="inlineStr">
        <is>
          <t>age-heavy 0.25 / 0.25 / 0.50</t>
        </is>
      </c>
      <c r="B62" s="7" t="n">
        <v>2</v>
      </c>
      <c r="C62" s="7" t="inlineStr">
        <is>
          <t>Sidewalk Repair Issue</t>
        </is>
      </c>
      <c r="D62" s="11" t="n">
        <v>92.40000000000001</v>
      </c>
      <c r="E62" s="7" t="b">
        <v>1</v>
      </c>
    </row>
    <row r="63">
      <c r="A63" s="7" t="inlineStr">
        <is>
          <t>age-heavy 0.25 / 0.25 / 0.50</t>
        </is>
      </c>
      <c r="B63" s="7" t="n">
        <v>3</v>
      </c>
      <c r="C63" s="7" t="inlineStr">
        <is>
          <t>Street Light Maintenance</t>
        </is>
      </c>
      <c r="D63" s="11" t="n">
        <v>82.59999999999999</v>
      </c>
      <c r="E63" s="7" t="b">
        <v>1</v>
      </c>
    </row>
    <row r="64">
      <c r="A64" s="7" t="inlineStr">
        <is>
          <t>age-heavy 0.25 / 0.25 / 0.50</t>
        </is>
      </c>
      <c r="B64" s="7" t="n">
        <v>4</v>
      </c>
      <c r="C64" s="7" t="inlineStr">
        <is>
          <t>Traffic Sign Maintenance</t>
        </is>
      </c>
      <c r="D64" s="11" t="n">
        <v>82.59999999999999</v>
      </c>
      <c r="E64" s="7" t="b">
        <v>0</v>
      </c>
    </row>
    <row r="65">
      <c r="A65" s="7" t="inlineStr">
        <is>
          <t>age-heavy 0.25 / 0.25 / 0.50</t>
        </is>
      </c>
      <c r="B65" s="7" t="n">
        <v>5</v>
      </c>
      <c r="C65" s="7" t="inlineStr">
        <is>
          <t>Stormwater</t>
        </is>
      </c>
      <c r="D65" s="11" t="n">
        <v>80.40000000000001</v>
      </c>
      <c r="E65" s="7" t="b">
        <v>0</v>
      </c>
    </row>
    <row r="66">
      <c r="A66" s="7" t="inlineStr">
        <is>
          <t>aged-rate-heavy 0.25 / 0.60 / 0.15</t>
        </is>
      </c>
      <c r="B66" s="7" t="n">
        <v>1</v>
      </c>
      <c r="C66" s="7" t="inlineStr">
        <is>
          <t>Pavement Maintenance</t>
        </is>
      </c>
      <c r="D66" s="11" t="n">
        <v>91.5</v>
      </c>
      <c r="E66" s="7" t="b">
        <v>1</v>
      </c>
    </row>
    <row r="67">
      <c r="A67" s="7" t="inlineStr">
        <is>
          <t>aged-rate-heavy 0.25 / 0.60 / 0.15</t>
        </is>
      </c>
      <c r="B67" s="7" t="n">
        <v>2</v>
      </c>
      <c r="C67" s="7" t="inlineStr">
        <is>
          <t>Sidewalk Repair Issue</t>
        </is>
      </c>
      <c r="D67" s="11" t="n">
        <v>90.90000000000001</v>
      </c>
      <c r="E67" s="7" t="b">
        <v>1</v>
      </c>
    </row>
    <row r="68">
      <c r="A68" s="7" t="inlineStr">
        <is>
          <t>aged-rate-heavy 0.25 / 0.60 / 0.15</t>
        </is>
      </c>
      <c r="B68" s="7" t="n">
        <v>3</v>
      </c>
      <c r="C68" s="7" t="inlineStr">
        <is>
          <t>Development Services - Code Enforcement</t>
        </is>
      </c>
      <c r="D68" s="11" t="n">
        <v>83.90000000000001</v>
      </c>
      <c r="E68" s="7" t="b">
        <v>0</v>
      </c>
    </row>
    <row r="69">
      <c r="A69" s="7" t="inlineStr">
        <is>
          <t>aged-rate-heavy 0.25 / 0.60 / 0.15</t>
        </is>
      </c>
      <c r="B69" s="7" t="n">
        <v>4</v>
      </c>
      <c r="C69" s="7" t="inlineStr">
        <is>
          <t>Traffic Sign Maintenance</t>
        </is>
      </c>
      <c r="D69" s="11" t="n">
        <v>82.59999999999999</v>
      </c>
      <c r="E69" s="7" t="b">
        <v>0</v>
      </c>
    </row>
    <row r="70">
      <c r="A70" s="7" t="inlineStr">
        <is>
          <t>aged-rate-heavy 0.25 / 0.60 / 0.15</t>
        </is>
      </c>
      <c r="B70" s="7" t="n">
        <v>5</v>
      </c>
      <c r="C70" s="7" t="inlineStr">
        <is>
          <t>Street Light Maintenance</t>
        </is>
      </c>
      <c r="D70" s="11" t="n">
        <v>82.59999999999999</v>
      </c>
      <c r="E70" s="7" t="b">
        <v>1</v>
      </c>
    </row>
    <row r="71">
      <c r="A71" s="7" t="inlineStr">
        <is>
          <t>baseline 0.45 / 0.35 / 0.20</t>
        </is>
      </c>
      <c r="B71" s="7" t="n">
        <v>1</v>
      </c>
      <c r="C71" s="7" t="inlineStr">
        <is>
          <t>Sidewalk Repair Issue</t>
        </is>
      </c>
      <c r="D71" s="11" t="n">
        <v>93.7</v>
      </c>
      <c r="E71" s="7" t="b">
        <v>1</v>
      </c>
    </row>
    <row r="72">
      <c r="A72" s="7" t="inlineStr">
        <is>
          <t>baseline 0.45 / 0.35 / 0.20</t>
        </is>
      </c>
      <c r="B72" s="7" t="n">
        <v>2</v>
      </c>
      <c r="C72" s="7" t="inlineStr">
        <is>
          <t>Pavement Maintenance</t>
        </is>
      </c>
      <c r="D72" s="11" t="n">
        <v>91.09999999999999</v>
      </c>
      <c r="E72" s="7" t="b">
        <v>1</v>
      </c>
    </row>
    <row r="73">
      <c r="A73" s="7" t="inlineStr">
        <is>
          <t>baseline 0.45 / 0.35 / 0.20</t>
        </is>
      </c>
      <c r="B73" s="7" t="n">
        <v>3</v>
      </c>
      <c r="C73" s="7" t="inlineStr">
        <is>
          <t>Street Light Maintenance</t>
        </is>
      </c>
      <c r="D73" s="11" t="n">
        <v>86.09999999999999</v>
      </c>
      <c r="E73" s="7" t="b">
        <v>1</v>
      </c>
    </row>
    <row r="74">
      <c r="A74" s="7" t="inlineStr">
        <is>
          <t>baseline 0.45 / 0.35 / 0.20</t>
        </is>
      </c>
      <c r="B74" s="7" t="n">
        <v>4</v>
      </c>
      <c r="C74" s="7" t="inlineStr">
        <is>
          <t>ROW Maintenance</t>
        </is>
      </c>
      <c r="D74" s="11" t="n">
        <v>80.2</v>
      </c>
      <c r="E74" s="7" t="b">
        <v>0</v>
      </c>
    </row>
    <row r="75">
      <c r="A75" s="7" t="inlineStr">
        <is>
          <t>baseline 0.45 / 0.35 / 0.20</t>
        </is>
      </c>
      <c r="B75" s="7" t="n">
        <v>5</v>
      </c>
      <c r="C75" s="7" t="inlineStr">
        <is>
          <t>Stormwater</t>
        </is>
      </c>
      <c r="D75" s="11" t="n">
        <v>76.5</v>
      </c>
      <c r="E75" s="7" t="b">
        <v>0</v>
      </c>
    </row>
    <row r="76">
      <c r="A76" s="7" t="inlineStr">
        <is>
          <t>equal 1/3 each</t>
        </is>
      </c>
      <c r="B76" s="7" t="n">
        <v>1</v>
      </c>
      <c r="C76" s="7" t="inlineStr">
        <is>
          <t>Pavement Maintenance</t>
        </is>
      </c>
      <c r="D76" s="11" t="n">
        <v>92.8</v>
      </c>
      <c r="E76" s="7" t="b">
        <v>1</v>
      </c>
    </row>
    <row r="77">
      <c r="A77" s="7" t="inlineStr">
        <is>
          <t>equal 1/3 each</t>
        </is>
      </c>
      <c r="B77" s="7" t="n">
        <v>2</v>
      </c>
      <c r="C77" s="7" t="inlineStr">
        <is>
          <t>Sidewalk Repair Issue</t>
        </is>
      </c>
      <c r="D77" s="11" t="n">
        <v>92.8</v>
      </c>
      <c r="E77" s="7" t="b">
        <v>1</v>
      </c>
    </row>
    <row r="78">
      <c r="A78" s="7" t="inlineStr">
        <is>
          <t>equal 1/3 each</t>
        </is>
      </c>
      <c r="B78" s="7" t="n">
        <v>3</v>
      </c>
      <c r="C78" s="7" t="inlineStr">
        <is>
          <t>Street Light Maintenance</t>
        </is>
      </c>
      <c r="D78" s="11" t="n">
        <v>84.09999999999999</v>
      </c>
      <c r="E78" s="7" t="b">
        <v>1</v>
      </c>
    </row>
    <row r="79">
      <c r="A79" s="7" t="inlineStr">
        <is>
          <t>equal 1/3 each</t>
        </is>
      </c>
      <c r="B79" s="7" t="n">
        <v>4</v>
      </c>
      <c r="C79" s="7" t="inlineStr">
        <is>
          <t>Traffic Sign Maintenance</t>
        </is>
      </c>
      <c r="D79" s="11" t="n">
        <v>78.3</v>
      </c>
      <c r="E79" s="7" t="b">
        <v>0</v>
      </c>
    </row>
    <row r="80">
      <c r="A80" s="7" t="inlineStr">
        <is>
          <t>equal 1/3 each</t>
        </is>
      </c>
      <c r="B80" s="7" t="n">
        <v>5</v>
      </c>
      <c r="C80" s="7" t="inlineStr">
        <is>
          <t>Stormwater</t>
        </is>
      </c>
      <c r="D80" s="11" t="n">
        <v>78.3</v>
      </c>
      <c r="E80" s="7" t="b">
        <v>0</v>
      </c>
    </row>
    <row r="81">
      <c r="A81" s="7" t="inlineStr">
        <is>
          <t>volume-heavy 0.60 / 0.25 / 0.15</t>
        </is>
      </c>
      <c r="B81" s="7" t="n">
        <v>1</v>
      </c>
      <c r="C81" s="7" t="inlineStr">
        <is>
          <t>Sidewalk Repair Issue</t>
        </is>
      </c>
      <c r="D81" s="11" t="n">
        <v>95.40000000000001</v>
      </c>
      <c r="E81" s="7" t="b">
        <v>1</v>
      </c>
    </row>
    <row r="82">
      <c r="A82" s="7" t="inlineStr">
        <is>
          <t>volume-heavy 0.60 / 0.25 / 0.15</t>
        </is>
      </c>
      <c r="B82" s="7" t="n">
        <v>2</v>
      </c>
      <c r="C82" s="7" t="inlineStr">
        <is>
          <t>Pavement Maintenance</t>
        </is>
      </c>
      <c r="D82" s="11" t="n">
        <v>90</v>
      </c>
      <c r="E82" s="7" t="b">
        <v>1</v>
      </c>
    </row>
    <row r="83">
      <c r="A83" s="7" t="inlineStr">
        <is>
          <t>volume-heavy 0.60 / 0.25 / 0.15</t>
        </is>
      </c>
      <c r="B83" s="7" t="n">
        <v>3</v>
      </c>
      <c r="C83" s="7" t="inlineStr">
        <is>
          <t>Street Light Maintenance</t>
        </is>
      </c>
      <c r="D83" s="11" t="n">
        <v>88.7</v>
      </c>
      <c r="E83" s="7" t="b">
        <v>1</v>
      </c>
    </row>
    <row r="84">
      <c r="A84" s="7" t="inlineStr">
        <is>
          <t>volume-heavy 0.60 / 0.25 / 0.15</t>
        </is>
      </c>
      <c r="B84" s="7" t="n">
        <v>4</v>
      </c>
      <c r="C84" s="7" t="inlineStr">
        <is>
          <t>ROW Maintenance</t>
        </is>
      </c>
      <c r="D84" s="11" t="n">
        <v>83.3</v>
      </c>
      <c r="E84" s="7" t="b">
        <v>0</v>
      </c>
    </row>
    <row r="85">
      <c r="A85" s="7" t="inlineStr">
        <is>
          <t>volume-heavy 0.60 / 0.25 / 0.15</t>
        </is>
      </c>
      <c r="B85" s="7" t="n">
        <v>5</v>
      </c>
      <c r="C85" s="7" t="inlineStr">
        <is>
          <t>Stormwater</t>
        </is>
      </c>
      <c r="D85" s="11" t="n">
        <v>75.90000000000001</v>
      </c>
      <c r="E85" s="7" t="b">
        <v>0</v>
      </c>
    </row>
    <row r="87">
      <c r="A87" s="5" t="inlineStr">
        <is>
          <t>Top 40 service x district cells by aged volume (cells with 200+ active records)</t>
        </is>
      </c>
    </row>
    <row r="88" ht="30" customHeight="1">
      <c r="A88" s="6" t="inlineStr">
        <is>
          <t>Rank</t>
        </is>
      </c>
      <c r="B88" s="6" t="inlineStr">
        <is>
          <t>Service category</t>
        </is>
      </c>
      <c r="C88" s="6" t="inlineStr">
        <is>
          <t>Council district</t>
        </is>
      </c>
      <c r="D88" s="6" t="inlineStr">
        <is>
          <t>Active records</t>
        </is>
      </c>
      <c r="E88" s="6" t="inlineStr">
        <is>
          <t>Aged 90+</t>
        </is>
      </c>
      <c r="F88" s="6" t="inlineStr">
        <is>
          <t>% aged 90+</t>
        </is>
      </c>
      <c r="G88" s="6" t="inlineStr">
        <is>
          <t>Median age (days)</t>
        </is>
      </c>
      <c r="H88" s="6" t="inlineStr">
        <is>
          <t>Aged concentration index</t>
        </is>
      </c>
    </row>
    <row r="89">
      <c r="A89" s="7" t="n">
        <v>1</v>
      </c>
      <c r="B89" s="7" t="inlineStr">
        <is>
          <t>Street Light Maintenance</t>
        </is>
      </c>
      <c r="C89" s="7" t="inlineStr">
        <is>
          <t>3</t>
        </is>
      </c>
      <c r="D89" s="8" t="n">
        <v>3553</v>
      </c>
      <c r="E89" s="8" t="n">
        <v>3273</v>
      </c>
      <c r="F89" s="11" t="n">
        <v>92.09999999999999</v>
      </c>
      <c r="G89" s="8" t="n">
        <v>526</v>
      </c>
      <c r="H89" s="15" t="n">
        <v>1.171</v>
      </c>
    </row>
    <row r="90">
      <c r="A90" s="7" t="n">
        <v>2</v>
      </c>
      <c r="B90" s="7" t="inlineStr">
        <is>
          <t>Sidewalk Repair Issue</t>
        </is>
      </c>
      <c r="C90" s="7" t="inlineStr">
        <is>
          <t>3</t>
        </is>
      </c>
      <c r="D90" s="8" t="n">
        <v>2948</v>
      </c>
      <c r="E90" s="8" t="n">
        <v>2724</v>
      </c>
      <c r="F90" s="11" t="n">
        <v>92.40000000000001</v>
      </c>
      <c r="G90" s="8" t="n">
        <v>746</v>
      </c>
      <c r="H90" s="15" t="n">
        <v>1.174</v>
      </c>
    </row>
    <row r="91">
      <c r="A91" s="7" t="n">
        <v>3</v>
      </c>
      <c r="B91" s="7" t="inlineStr">
        <is>
          <t>Street Light Maintenance</t>
        </is>
      </c>
      <c r="C91" s="7" t="inlineStr">
        <is>
          <t>2</t>
        </is>
      </c>
      <c r="D91" s="8" t="n">
        <v>2580</v>
      </c>
      <c r="E91" s="8" t="n">
        <v>2415</v>
      </c>
      <c r="F91" s="11" t="n">
        <v>93.59999999999999</v>
      </c>
      <c r="G91" s="8" t="n">
        <v>580</v>
      </c>
      <c r="H91" s="15" t="n">
        <v>1.189</v>
      </c>
    </row>
    <row r="92">
      <c r="A92" s="7" t="n">
        <v>4</v>
      </c>
      <c r="B92" s="7" t="inlineStr">
        <is>
          <t>Sidewalk Repair Issue</t>
        </is>
      </c>
      <c r="C92" s="7" t="inlineStr">
        <is>
          <t>2</t>
        </is>
      </c>
      <c r="D92" s="8" t="n">
        <v>2086</v>
      </c>
      <c r="E92" s="8" t="n">
        <v>1978</v>
      </c>
      <c r="F92" s="11" t="n">
        <v>94.8</v>
      </c>
      <c r="G92" s="9" t="n">
        <v>1292.5</v>
      </c>
      <c r="H92" s="15" t="n">
        <v>1.205</v>
      </c>
    </row>
    <row r="93">
      <c r="A93" s="7" t="n">
        <v>5</v>
      </c>
      <c r="B93" s="7" t="inlineStr">
        <is>
          <t>Street Light Maintenance</t>
        </is>
      </c>
      <c r="C93" s="7" t="inlineStr">
        <is>
          <t>1</t>
        </is>
      </c>
      <c r="D93" s="8" t="n">
        <v>1938</v>
      </c>
      <c r="E93" s="8" t="n">
        <v>1799</v>
      </c>
      <c r="F93" s="11" t="n">
        <v>92.8</v>
      </c>
      <c r="G93" s="8" t="n">
        <v>595</v>
      </c>
      <c r="H93" s="15" t="n">
        <v>1.18</v>
      </c>
    </row>
    <row r="94">
      <c r="A94" s="7" t="n">
        <v>6</v>
      </c>
      <c r="B94" s="7" t="inlineStr">
        <is>
          <t>Sidewalk Repair Issue</t>
        </is>
      </c>
      <c r="C94" s="7" t="inlineStr">
        <is>
          <t>7</t>
        </is>
      </c>
      <c r="D94" s="8" t="n">
        <v>1837</v>
      </c>
      <c r="E94" s="8" t="n">
        <v>1771</v>
      </c>
      <c r="F94" s="11" t="n">
        <v>96.40000000000001</v>
      </c>
      <c r="G94" s="8" t="n">
        <v>1188</v>
      </c>
      <c r="H94" s="15" t="n">
        <v>1.225</v>
      </c>
    </row>
    <row r="95">
      <c r="A95" s="7" t="n">
        <v>7</v>
      </c>
      <c r="B95" s="7" t="inlineStr">
        <is>
          <t>ROW Maintenance</t>
        </is>
      </c>
      <c r="C95" s="7" t="inlineStr">
        <is>
          <t>3</t>
        </is>
      </c>
      <c r="D95" s="8" t="n">
        <v>2082</v>
      </c>
      <c r="E95" s="8" t="n">
        <v>1742</v>
      </c>
      <c r="F95" s="11" t="n">
        <v>83.7</v>
      </c>
      <c r="G95" s="8" t="n">
        <v>433</v>
      </c>
      <c r="H95" s="15" t="n">
        <v>1.063</v>
      </c>
    </row>
    <row r="96">
      <c r="A96" s="7" t="n">
        <v>8</v>
      </c>
      <c r="B96" s="7" t="inlineStr">
        <is>
          <t>Pavement Maintenance</t>
        </is>
      </c>
      <c r="C96" s="7" t="inlineStr">
        <is>
          <t>3</t>
        </is>
      </c>
      <c r="D96" s="8" t="n">
        <v>1731</v>
      </c>
      <c r="E96" s="8" t="n">
        <v>1646</v>
      </c>
      <c r="F96" s="11" t="n">
        <v>95.09999999999999</v>
      </c>
      <c r="G96" s="8" t="n">
        <v>1273</v>
      </c>
      <c r="H96" s="15" t="n">
        <v>1.208</v>
      </c>
    </row>
    <row r="97">
      <c r="A97" s="7" t="n">
        <v>9</v>
      </c>
      <c r="B97" s="7" t="inlineStr">
        <is>
          <t>Sidewalk Repair Issue</t>
        </is>
      </c>
      <c r="C97" s="7" t="inlineStr">
        <is>
          <t>1</t>
        </is>
      </c>
      <c r="D97" s="8" t="n">
        <v>1669</v>
      </c>
      <c r="E97" s="8" t="n">
        <v>1599</v>
      </c>
      <c r="F97" s="11" t="n">
        <v>95.8</v>
      </c>
      <c r="G97" s="8" t="n">
        <v>1154</v>
      </c>
      <c r="H97" s="15" t="n">
        <v>1.217</v>
      </c>
    </row>
    <row r="98">
      <c r="A98" s="7" t="n">
        <v>10</v>
      </c>
      <c r="B98" s="7" t="inlineStr">
        <is>
          <t>ROW Maintenance</t>
        </is>
      </c>
      <c r="C98" s="7" t="inlineStr">
        <is>
          <t>1</t>
        </is>
      </c>
      <c r="D98" s="8" t="n">
        <v>1649</v>
      </c>
      <c r="E98" s="8" t="n">
        <v>1479</v>
      </c>
      <c r="F98" s="11" t="n">
        <v>89.7</v>
      </c>
      <c r="G98" s="8" t="n">
        <v>470</v>
      </c>
      <c r="H98" s="15" t="n">
        <v>1.14</v>
      </c>
    </row>
    <row r="99">
      <c r="A99" s="7" t="n">
        <v>11</v>
      </c>
      <c r="B99" s="7" t="inlineStr">
        <is>
          <t>Sidewalk Repair Issue</t>
        </is>
      </c>
      <c r="C99" s="7" t="inlineStr">
        <is>
          <t>9</t>
        </is>
      </c>
      <c r="D99" s="8" t="n">
        <v>1564</v>
      </c>
      <c r="E99" s="8" t="n">
        <v>1460</v>
      </c>
      <c r="F99" s="11" t="n">
        <v>93.40000000000001</v>
      </c>
      <c r="G99" s="8" t="n">
        <v>741</v>
      </c>
      <c r="H99" s="15" t="n">
        <v>1.186</v>
      </c>
    </row>
    <row r="100">
      <c r="A100" s="7" t="n">
        <v>12</v>
      </c>
      <c r="B100" s="7" t="inlineStr">
        <is>
          <t>Graffiti - Code Enforcement</t>
        </is>
      </c>
      <c r="C100" s="7" t="inlineStr">
        <is>
          <t>3</t>
        </is>
      </c>
      <c r="D100" s="8" t="n">
        <v>1811</v>
      </c>
      <c r="E100" s="8" t="n">
        <v>1388</v>
      </c>
      <c r="F100" s="11" t="n">
        <v>76.59999999999999</v>
      </c>
      <c r="G100" s="8" t="n">
        <v>253</v>
      </c>
      <c r="H100" s="15" t="n">
        <v>0.974</v>
      </c>
    </row>
    <row r="101">
      <c r="A101" s="7" t="n">
        <v>13</v>
      </c>
      <c r="B101" s="7" t="inlineStr">
        <is>
          <t>Street Light Maintenance</t>
        </is>
      </c>
      <c r="C101" s="7" t="inlineStr">
        <is>
          <t>5</t>
        </is>
      </c>
      <c r="D101" s="8" t="n">
        <v>1558</v>
      </c>
      <c r="E101" s="8" t="n">
        <v>1333</v>
      </c>
      <c r="F101" s="11" t="n">
        <v>85.59999999999999</v>
      </c>
      <c r="G101" s="8" t="n">
        <v>370</v>
      </c>
      <c r="H101" s="15" t="n">
        <v>1.087</v>
      </c>
    </row>
    <row r="102">
      <c r="A102" s="7" t="n">
        <v>14</v>
      </c>
      <c r="B102" s="7" t="inlineStr">
        <is>
          <t>Sidewalk Repair Issue</t>
        </is>
      </c>
      <c r="C102" s="7" t="inlineStr">
        <is>
          <t>5</t>
        </is>
      </c>
      <c r="D102" s="8" t="n">
        <v>1357</v>
      </c>
      <c r="E102" s="8" t="n">
        <v>1323</v>
      </c>
      <c r="F102" s="11" t="n">
        <v>97.5</v>
      </c>
      <c r="G102" s="8" t="n">
        <v>1248</v>
      </c>
      <c r="H102" s="15" t="n">
        <v>1.239</v>
      </c>
    </row>
    <row r="103">
      <c r="A103" s="7" t="n">
        <v>15</v>
      </c>
      <c r="B103" s="7" t="inlineStr">
        <is>
          <t>ROW Maintenance</t>
        </is>
      </c>
      <c r="C103" s="7" t="inlineStr">
        <is>
          <t>2</t>
        </is>
      </c>
      <c r="D103" s="8" t="n">
        <v>1487</v>
      </c>
      <c r="E103" s="8" t="n">
        <v>1269</v>
      </c>
      <c r="F103" s="11" t="n">
        <v>85.3</v>
      </c>
      <c r="G103" s="8" t="n">
        <v>446</v>
      </c>
      <c r="H103" s="15" t="n">
        <v>1.084</v>
      </c>
    </row>
    <row r="104">
      <c r="A104" s="7" t="n">
        <v>16</v>
      </c>
      <c r="B104" s="7" t="inlineStr">
        <is>
          <t>Sidewalk Repair Issue</t>
        </is>
      </c>
      <c r="C104" s="7" t="inlineStr">
        <is>
          <t>8</t>
        </is>
      </c>
      <c r="D104" s="8" t="n">
        <v>1242</v>
      </c>
      <c r="E104" s="8" t="n">
        <v>1165</v>
      </c>
      <c r="F104" s="11" t="n">
        <v>93.8</v>
      </c>
      <c r="G104" s="8" t="n">
        <v>759</v>
      </c>
      <c r="H104" s="15" t="n">
        <v>1.192</v>
      </c>
    </row>
    <row r="105">
      <c r="A105" s="7" t="n">
        <v>17</v>
      </c>
      <c r="B105" s="7" t="inlineStr">
        <is>
          <t>Sidewalk Repair Issue</t>
        </is>
      </c>
      <c r="C105" s="7" t="inlineStr">
        <is>
          <t>6</t>
        </is>
      </c>
      <c r="D105" s="8" t="n">
        <v>1172</v>
      </c>
      <c r="E105" s="8" t="n">
        <v>1136</v>
      </c>
      <c r="F105" s="11" t="n">
        <v>96.90000000000001</v>
      </c>
      <c r="G105" s="9" t="n">
        <v>1493.5</v>
      </c>
      <c r="H105" s="15" t="n">
        <v>1.232</v>
      </c>
    </row>
    <row r="106">
      <c r="A106" s="7" t="n">
        <v>18</v>
      </c>
      <c r="B106" s="7" t="inlineStr">
        <is>
          <t>Pavement Maintenance</t>
        </is>
      </c>
      <c r="C106" s="7" t="inlineStr">
        <is>
          <t>9</t>
        </is>
      </c>
      <c r="D106" s="8" t="n">
        <v>1089</v>
      </c>
      <c r="E106" s="8" t="n">
        <v>1049</v>
      </c>
      <c r="F106" s="11" t="n">
        <v>96.3</v>
      </c>
      <c r="G106" s="8" t="n">
        <v>1393</v>
      </c>
      <c r="H106" s="15" t="n">
        <v>1.224</v>
      </c>
    </row>
    <row r="107">
      <c r="A107" s="7" t="n">
        <v>19</v>
      </c>
      <c r="B107" s="7" t="inlineStr">
        <is>
          <t>Street Light Maintenance</t>
        </is>
      </c>
      <c r="C107" s="7" t="inlineStr">
        <is>
          <t>9</t>
        </is>
      </c>
      <c r="D107" s="8" t="n">
        <v>1069</v>
      </c>
      <c r="E107" s="8" t="n">
        <v>973</v>
      </c>
      <c r="F107" s="11" t="n">
        <v>91</v>
      </c>
      <c r="G107" s="8" t="n">
        <v>444</v>
      </c>
      <c r="H107" s="15" t="n">
        <v>1.157</v>
      </c>
    </row>
    <row r="108">
      <c r="A108" s="7" t="n">
        <v>20</v>
      </c>
      <c r="B108" s="7" t="inlineStr">
        <is>
          <t>ROW Maintenance</t>
        </is>
      </c>
      <c r="C108" s="7" t="inlineStr">
        <is>
          <t>6</t>
        </is>
      </c>
      <c r="D108" s="8" t="n">
        <v>935</v>
      </c>
      <c r="E108" s="8" t="n">
        <v>844</v>
      </c>
      <c r="F108" s="11" t="n">
        <v>90.3</v>
      </c>
      <c r="G108" s="8" t="n">
        <v>530</v>
      </c>
      <c r="H108" s="15" t="n">
        <v>1.147</v>
      </c>
    </row>
    <row r="109">
      <c r="A109" s="7" t="n">
        <v>21</v>
      </c>
      <c r="B109" s="7" t="inlineStr">
        <is>
          <t>ROW Maintenance</t>
        </is>
      </c>
      <c r="C109" s="7" t="inlineStr">
        <is>
          <t>7</t>
        </is>
      </c>
      <c r="D109" s="8" t="n">
        <v>1095</v>
      </c>
      <c r="E109" s="8" t="n">
        <v>819</v>
      </c>
      <c r="F109" s="11" t="n">
        <v>74.8</v>
      </c>
      <c r="G109" s="8" t="n">
        <v>344</v>
      </c>
      <c r="H109" s="15" t="n">
        <v>0.95</v>
      </c>
    </row>
    <row r="110">
      <c r="A110" s="7" t="n">
        <v>22</v>
      </c>
      <c r="B110" s="7" t="inlineStr">
        <is>
          <t>Street Light Maintenance</t>
        </is>
      </c>
      <c r="C110" s="7" t="inlineStr">
        <is>
          <t>6</t>
        </is>
      </c>
      <c r="D110" s="8" t="n">
        <v>912</v>
      </c>
      <c r="E110" s="8" t="n">
        <v>813</v>
      </c>
      <c r="F110" s="11" t="n">
        <v>89.09999999999999</v>
      </c>
      <c r="G110" s="8" t="n">
        <v>331</v>
      </c>
      <c r="H110" s="15" t="n">
        <v>1.133</v>
      </c>
    </row>
    <row r="111">
      <c r="A111" s="7" t="n">
        <v>23</v>
      </c>
      <c r="B111" s="7" t="inlineStr">
        <is>
          <t>Street Light Maintenance</t>
        </is>
      </c>
      <c r="C111" s="7" t="inlineStr">
        <is>
          <t>8</t>
        </is>
      </c>
      <c r="D111" s="8" t="n">
        <v>839</v>
      </c>
      <c r="E111" s="8" t="n">
        <v>730</v>
      </c>
      <c r="F111" s="11" t="n">
        <v>87</v>
      </c>
      <c r="G111" s="8" t="n">
        <v>355</v>
      </c>
      <c r="H111" s="15" t="n">
        <v>1.106</v>
      </c>
    </row>
    <row r="112">
      <c r="A112" s="7" t="n">
        <v>24</v>
      </c>
      <c r="B112" s="7" t="inlineStr">
        <is>
          <t>ROW Maintenance</t>
        </is>
      </c>
      <c r="C112" s="7" t="inlineStr">
        <is>
          <t>8</t>
        </is>
      </c>
      <c r="D112" s="8" t="n">
        <v>835</v>
      </c>
      <c r="E112" s="8" t="n">
        <v>713</v>
      </c>
      <c r="F112" s="11" t="n">
        <v>85.40000000000001</v>
      </c>
      <c r="G112" s="8" t="n">
        <v>426</v>
      </c>
      <c r="H112" s="15" t="n">
        <v>1.085</v>
      </c>
    </row>
    <row r="113">
      <c r="A113" s="7" t="n">
        <v>25</v>
      </c>
      <c r="B113" s="7" t="inlineStr">
        <is>
          <t>Pavement Maintenance</t>
        </is>
      </c>
      <c r="C113" s="7" t="inlineStr">
        <is>
          <t>8</t>
        </is>
      </c>
      <c r="D113" s="8" t="n">
        <v>703</v>
      </c>
      <c r="E113" s="8" t="n">
        <v>685</v>
      </c>
      <c r="F113" s="11" t="n">
        <v>97.40000000000001</v>
      </c>
      <c r="G113" s="8" t="n">
        <v>1506</v>
      </c>
      <c r="H113" s="15" t="n">
        <v>1.238</v>
      </c>
    </row>
    <row r="114">
      <c r="A114" s="7" t="n">
        <v>26</v>
      </c>
      <c r="B114" s="7" t="inlineStr">
        <is>
          <t>Sidewalk Repair Issue</t>
        </is>
      </c>
      <c r="C114" s="7" t="inlineStr">
        <is>
          <t>4</t>
        </is>
      </c>
      <c r="D114" s="8" t="n">
        <v>737</v>
      </c>
      <c r="E114" s="8" t="n">
        <v>681</v>
      </c>
      <c r="F114" s="11" t="n">
        <v>92.40000000000001</v>
      </c>
      <c r="G114" s="8" t="n">
        <v>860</v>
      </c>
      <c r="H114" s="15" t="n">
        <v>1.174</v>
      </c>
    </row>
    <row r="115">
      <c r="A115" s="7" t="n">
        <v>27</v>
      </c>
      <c r="B115" s="7" t="inlineStr">
        <is>
          <t>(Unclassified)</t>
        </is>
      </c>
      <c r="C115" s="7" t="inlineStr">
        <is>
          <t>(Unknown)</t>
        </is>
      </c>
      <c r="D115" s="8" t="n">
        <v>720</v>
      </c>
      <c r="E115" s="8" t="n">
        <v>674</v>
      </c>
      <c r="F115" s="11" t="n">
        <v>93.59999999999999</v>
      </c>
      <c r="G115" s="8" t="n">
        <v>184</v>
      </c>
      <c r="H115" s="15" t="n">
        <v>1.189</v>
      </c>
    </row>
    <row r="116">
      <c r="A116" s="7" t="n">
        <v>28</v>
      </c>
      <c r="B116" s="7" t="inlineStr">
        <is>
          <t>ROW Maintenance</t>
        </is>
      </c>
      <c r="C116" s="7" t="inlineStr">
        <is>
          <t>5</t>
        </is>
      </c>
      <c r="D116" s="8" t="n">
        <v>738</v>
      </c>
      <c r="E116" s="8" t="n">
        <v>669</v>
      </c>
      <c r="F116" s="11" t="n">
        <v>90.7</v>
      </c>
      <c r="G116" s="8" t="n">
        <v>472</v>
      </c>
      <c r="H116" s="15" t="n">
        <v>1.152</v>
      </c>
    </row>
    <row r="117">
      <c r="A117" s="7" t="n">
        <v>29</v>
      </c>
      <c r="B117" s="7" t="inlineStr">
        <is>
          <t>ROW Maintenance</t>
        </is>
      </c>
      <c r="C117" s="7" t="inlineStr">
        <is>
          <t>9</t>
        </is>
      </c>
      <c r="D117" s="8" t="n">
        <v>727</v>
      </c>
      <c r="E117" s="8" t="n">
        <v>634</v>
      </c>
      <c r="F117" s="11" t="n">
        <v>87.2</v>
      </c>
      <c r="G117" s="8" t="n">
        <v>451</v>
      </c>
      <c r="H117" s="15" t="n">
        <v>1.108</v>
      </c>
    </row>
    <row r="118">
      <c r="A118" s="7" t="n">
        <v>30</v>
      </c>
      <c r="B118" s="7" t="inlineStr">
        <is>
          <t>Pavement Maintenance</t>
        </is>
      </c>
      <c r="C118" s="7" t="inlineStr">
        <is>
          <t>2</t>
        </is>
      </c>
      <c r="D118" s="8" t="n">
        <v>661</v>
      </c>
      <c r="E118" s="8" t="n">
        <v>630</v>
      </c>
      <c r="F118" s="11" t="n">
        <v>95.3</v>
      </c>
      <c r="G118" s="8" t="n">
        <v>1247</v>
      </c>
      <c r="H118" s="15" t="n">
        <v>1.211</v>
      </c>
    </row>
    <row r="119">
      <c r="A119" s="7" t="n">
        <v>31</v>
      </c>
      <c r="B119" s="7" t="inlineStr">
        <is>
          <t>ROW Maintenance</t>
        </is>
      </c>
      <c r="C119" s="7" t="inlineStr">
        <is>
          <t>4</t>
        </is>
      </c>
      <c r="D119" s="8" t="n">
        <v>684</v>
      </c>
      <c r="E119" s="8" t="n">
        <v>602</v>
      </c>
      <c r="F119" s="11" t="n">
        <v>88</v>
      </c>
      <c r="G119" s="9" t="n">
        <v>469.5</v>
      </c>
      <c r="H119" s="15" t="n">
        <v>1.118</v>
      </c>
    </row>
    <row r="120">
      <c r="A120" s="7" t="n">
        <v>32</v>
      </c>
      <c r="B120" s="7" t="inlineStr">
        <is>
          <t>Street Light Maintenance</t>
        </is>
      </c>
      <c r="C120" s="7" t="inlineStr">
        <is>
          <t>7</t>
        </is>
      </c>
      <c r="D120" s="8" t="n">
        <v>678</v>
      </c>
      <c r="E120" s="8" t="n">
        <v>585</v>
      </c>
      <c r="F120" s="11" t="n">
        <v>86.3</v>
      </c>
      <c r="G120" s="9" t="n">
        <v>326.5</v>
      </c>
      <c r="H120" s="15" t="n">
        <v>1.096</v>
      </c>
    </row>
    <row r="121">
      <c r="A121" s="7" t="n">
        <v>33</v>
      </c>
      <c r="B121" s="7" t="inlineStr">
        <is>
          <t>Vegetation Encroachment</t>
        </is>
      </c>
      <c r="C121" s="7" t="inlineStr">
        <is>
          <t>1</t>
        </is>
      </c>
      <c r="D121" s="8" t="n">
        <v>684</v>
      </c>
      <c r="E121" s="8" t="n">
        <v>551</v>
      </c>
      <c r="F121" s="11" t="n">
        <v>80.59999999999999</v>
      </c>
      <c r="G121" s="8" t="n">
        <v>375</v>
      </c>
      <c r="H121" s="15" t="n">
        <v>1.024</v>
      </c>
    </row>
    <row r="122">
      <c r="A122" s="7" t="n">
        <v>34</v>
      </c>
      <c r="B122" s="7" t="inlineStr">
        <is>
          <t>Parks Issue</t>
        </is>
      </c>
      <c r="C122" s="7" t="inlineStr">
        <is>
          <t>3</t>
        </is>
      </c>
      <c r="D122" s="8" t="n">
        <v>782</v>
      </c>
      <c r="E122" s="8" t="n">
        <v>549</v>
      </c>
      <c r="F122" s="11" t="n">
        <v>70.2</v>
      </c>
      <c r="G122" s="8" t="n">
        <v>326</v>
      </c>
      <c r="H122" s="15" t="n">
        <v>0.892</v>
      </c>
    </row>
    <row r="123">
      <c r="A123" s="7" t="n">
        <v>35</v>
      </c>
      <c r="B123" s="7" t="inlineStr">
        <is>
          <t>Parks Issue</t>
        </is>
      </c>
      <c r="C123" s="7" t="inlineStr">
        <is>
          <t>2</t>
        </is>
      </c>
      <c r="D123" s="8" t="n">
        <v>904</v>
      </c>
      <c r="E123" s="8" t="n">
        <v>512</v>
      </c>
      <c r="F123" s="11" t="n">
        <v>56.6</v>
      </c>
      <c r="G123" s="9" t="n">
        <v>136.5</v>
      </c>
      <c r="H123" s="15" t="n">
        <v>0.72</v>
      </c>
    </row>
    <row r="124">
      <c r="A124" s="7" t="n">
        <v>36</v>
      </c>
      <c r="B124" s="7" t="inlineStr">
        <is>
          <t>Pavement Maintenance</t>
        </is>
      </c>
      <c r="C124" s="7" t="inlineStr">
        <is>
          <t>1</t>
        </is>
      </c>
      <c r="D124" s="8" t="n">
        <v>507</v>
      </c>
      <c r="E124" s="8" t="n">
        <v>477</v>
      </c>
      <c r="F124" s="11" t="n">
        <v>94.09999999999999</v>
      </c>
      <c r="G124" s="8" t="n">
        <v>1235</v>
      </c>
      <c r="H124" s="15" t="n">
        <v>1.195</v>
      </c>
    </row>
    <row r="125">
      <c r="A125" s="7" t="n">
        <v>37</v>
      </c>
      <c r="B125" s="7" t="inlineStr">
        <is>
          <t>Graffiti - Code Enforcement</t>
        </is>
      </c>
      <c r="C125" s="7" t="inlineStr">
        <is>
          <t>9</t>
        </is>
      </c>
      <c r="D125" s="8" t="n">
        <v>696</v>
      </c>
      <c r="E125" s="8" t="n">
        <v>467</v>
      </c>
      <c r="F125" s="11" t="n">
        <v>67.09999999999999</v>
      </c>
      <c r="G125" s="9" t="n">
        <v>137.5</v>
      </c>
      <c r="H125" s="15" t="n">
        <v>0.853</v>
      </c>
    </row>
    <row r="126">
      <c r="A126" s="7" t="n">
        <v>38</v>
      </c>
      <c r="B126" s="7" t="inlineStr">
        <is>
          <t>Stormwater</t>
        </is>
      </c>
      <c r="C126" s="7" t="inlineStr">
        <is>
          <t>3</t>
        </is>
      </c>
      <c r="D126" s="8" t="n">
        <v>480</v>
      </c>
      <c r="E126" s="8" t="n">
        <v>436</v>
      </c>
      <c r="F126" s="11" t="n">
        <v>90.8</v>
      </c>
      <c r="G126" s="8" t="n">
        <v>985</v>
      </c>
      <c r="H126" s="15" t="n">
        <v>1.154</v>
      </c>
    </row>
    <row r="127">
      <c r="A127" s="7" t="n">
        <v>39</v>
      </c>
      <c r="B127" s="7" t="inlineStr">
        <is>
          <t>Street Light Maintenance</t>
        </is>
      </c>
      <c r="C127" s="7" t="inlineStr">
        <is>
          <t>4</t>
        </is>
      </c>
      <c r="D127" s="8" t="n">
        <v>535</v>
      </c>
      <c r="E127" s="8" t="n">
        <v>404</v>
      </c>
      <c r="F127" s="11" t="n">
        <v>75.5</v>
      </c>
      <c r="G127" s="8" t="n">
        <v>204</v>
      </c>
      <c r="H127" s="15" t="n">
        <v>0.96</v>
      </c>
    </row>
    <row r="128">
      <c r="A128" s="7" t="n">
        <v>40</v>
      </c>
      <c r="B128" s="7" t="inlineStr">
        <is>
          <t>Parks Issue</t>
        </is>
      </c>
      <c r="C128" s="7" t="inlineStr">
        <is>
          <t>7</t>
        </is>
      </c>
      <c r="D128" s="8" t="n">
        <v>524</v>
      </c>
      <c r="E128" s="8" t="n">
        <v>314</v>
      </c>
      <c r="F128" s="11" t="n">
        <v>59.9</v>
      </c>
      <c r="G128" s="9" t="n">
        <v>117.5</v>
      </c>
      <c r="H128" s="15" t="n">
        <v>0.761</v>
      </c>
    </row>
  </sheetData>
  <conditionalFormatting sqref="B6:B13">
    <cfRule type="dataBar" priority="1">
      <dataBar showValue="1">
        <cfvo type="min"/>
        <cfvo type="max"/>
        <color rgb="FFEB6834"/>
      </dataBar>
    </cfRule>
  </conditionalFormatting>
  <conditionalFormatting sqref="I34:I57">
    <cfRule type="colorScale" priority="2">
      <colorScale>
        <cfvo type="min"/>
        <cfvo type="max"/>
        <color rgb="FFFFFFFF"/>
        <color rgb="FFEB6834"/>
      </colorScale>
    </cfRule>
  </conditionalFormatting>
  <pageMargins left="0.75" right="0.75" top="1" bottom="1" header="0.5" footer="0.5"/>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6.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46" customWidth="1" min="1" max="1"/>
    <col width="11" customWidth="1" min="2" max="2"/>
    <col width="62" customWidth="1" min="3" max="3"/>
    <col width="62" customWidth="1" min="4" max="4"/>
    <col width="62" customWidth="1" min="5" max="5"/>
  </cols>
  <sheetData>
    <row r="1">
      <c r="A1" s="12" t="inlineStr">
        <is>
          <t>Data quality checks</t>
        </is>
      </c>
    </row>
    <row r="2">
      <c r="A2" s="2" t="inlineStr">
        <is>
          <t>Generated by src/audit.py. A FAIL means the condition would invalidate a result if ignored - each one is worked around explicitly, see the Treatment column.</t>
        </is>
      </c>
    </row>
    <row r="3">
      <c r="A3" s="13" t="inlineStr">
        <is>
          <t>Full report: 02_data_audit/data_quality_report.md</t>
        </is>
      </c>
    </row>
    <row r="5" ht="30" customHeight="1">
      <c r="A5" s="6" t="inlineStr">
        <is>
          <t>Check</t>
        </is>
      </c>
      <c r="B5" s="6" t="inlineStr">
        <is>
          <t>Grade</t>
        </is>
      </c>
      <c r="C5" s="6" t="inlineStr">
        <is>
          <t>Question</t>
        </is>
      </c>
      <c r="D5" s="6" t="inlineStr">
        <is>
          <t>Finding</t>
        </is>
      </c>
      <c r="E5" s="6" t="inlineStr">
        <is>
          <t>Treatment</t>
        </is>
      </c>
    </row>
    <row r="6" ht="62" customHeight="1">
      <c r="A6" s="7" t="inlineStr">
        <is>
          <t>DQ-01 Row counts and parse integrity</t>
        </is>
      </c>
      <c r="B6" s="7" t="inlineStr">
        <is>
          <t>PASS</t>
        </is>
      </c>
      <c r="C6" s="16" t="inlineStr">
        <is>
          <t>Do the three extracts parse to the row counts the source files imply?</t>
        </is>
      </c>
      <c r="D6" s="16" t="inlineStr">
        <is>
          <t>714,934 rows read across 3 extracts; 714,925 unique case records retained after resolving 9 cross-file duplicate ids.</t>
        </is>
      </c>
      <c r="E6" s="16" t="inlineStr">
        <is>
          <t>Row counts reconcile to the download manifest; no rows lost to parse errors.</t>
        </is>
      </c>
    </row>
    <row r="7" ht="62" customHeight="1">
      <c r="A7" s="7" t="inlineStr">
        <is>
          <t>DQ-02 Primary key uniqueness</t>
        </is>
      </c>
      <c r="B7" s="7" t="inlineStr">
        <is>
          <t>WARN</t>
        </is>
      </c>
      <c r="C7" s="16" t="inlineStr">
        <is>
          <t>Is service_request_id unique within and across the extracts?</t>
        </is>
      </c>
      <c r="D7" s="16" t="inlineStr">
        <is>
          <t>No duplicate ids within any extract. 9 ids appear in more than one extract with conflicting states.</t>
        </is>
      </c>
      <c r="E7" s="16" t="inlineStr">
        <is>
          <t>Resolved by source precedence (open &gt; closed_2026 &gt; closed_2025): the most recently refreshed extract wins. Affects 9 of 714,925 records.</t>
        </is>
      </c>
    </row>
    <row r="8" ht="62" customHeight="1">
      <c r="A8" s="7" t="inlineStr">
        <is>
          <t>DQ-03 Semantics of the published case_age_days</t>
        </is>
      </c>
      <c r="B8" s="7" t="inlineStr">
        <is>
          <t>FAIL</t>
        </is>
      </c>
      <c r="C8" s="16" t="inlineStr">
        <is>
          <t>Does case_age_days mean what the official dictionary says it means?</t>
        </is>
      </c>
      <c r="D8" s="16" t="inlineStr">
        <is>
          <t>The field carries two different meanings. For terminal-status records it matches (date_closed - date_requested) in 99.88% of cases, as documented. For active records — which have no close date at all — it instead matches (extract date - date_requested) in 99.63% of cases. The dictionary describes only the first meaning.</t>
        </is>
      </c>
      <c r="E8" s="16" t="inlineStr">
        <is>
          <t>The project does not use the published field for analysis. active_age_days and lifecycle_days are computed from the dates in 01_clean_base.sql. The published field is retained as case_age_days_published for this comparison only.</t>
        </is>
      </c>
    </row>
    <row r="9" ht="62" customHeight="1">
      <c r="A9" s="7" t="inlineStr">
        <is>
          <t>DQ-04 Date validity and ordering</t>
        </is>
      </c>
      <c r="B9" s="7" t="inlineStr">
        <is>
          <t>WARN</t>
        </is>
      </c>
      <c r="C9" s="16" t="inlineStr">
        <is>
          <t>Are the dates present, in range, and internally consistent?</t>
        </is>
      </c>
      <c r="D9" s="16" t="inlineStr">
        <is>
          <t>5 records have a close date earlier than their request date (0.0007% of records). No missing request dates. Request dates span 2016-05-22 to 2026-08-08.</t>
        </is>
      </c>
      <c r="E9" s="16" t="inlineStr">
        <is>
          <t>lifecycle_days is left NULL where date_closed &lt; date_requested rather than recorded as a negative duration, so these records drop out of lifecycle percentiles instead of dragging them down.</t>
        </is>
      </c>
    </row>
    <row r="10" ht="62" customHeight="1">
      <c r="A10" s="7" t="inlineStr">
        <is>
          <t>DQ-05 Extract boundary integrity</t>
        </is>
      </c>
      <c r="B10" s="7" t="inlineStr">
        <is>
          <t>PASS</t>
        </is>
      </c>
      <c r="C10" s="16" t="inlineStr">
        <is>
          <t>Does each closed-year file contain only closures from that year?</t>
        </is>
      </c>
      <c r="D10" s="16" t="inlineStr">
        <is>
          <t>0 records fall outside the closure year their file claims.</t>
        </is>
      </c>
      <c r="E10" s="16" t="inlineStr">
        <is>
          <t>Closure-year boundaries hold, which is what the demand-coverage argument in 09_trends.sql depends on.</t>
        </is>
      </c>
    </row>
    <row r="11" ht="62" customHeight="1">
      <c r="A11" s="7" t="inlineStr">
        <is>
          <t>DQ-06 Missing values by field</t>
        </is>
      </c>
      <c r="B11" s="7" t="inlineStr">
        <is>
          <t>WARN</t>
        </is>
      </c>
      <c r="C11" s="16" t="inlineStr">
        <is>
          <t>Which analysis fields are incomplete, and by how much?</t>
        </is>
      </c>
      <c r="D11" s="16" t="inlineStr">
        <is>
          <t>Highest missingness among dimensions used for grouping is zipcode at 3.29%. Nulls in parent_request_id, date_closed, active_age_days and lifecycle_days are structural, not defects.</t>
        </is>
      </c>
      <c r="E11" s="16" t="inlineStr">
        <is>
          <t>Missing geography and service values are bucketed into explicit '(Unknown)' / '(Unclassified)' groups so that group totals still reconcile to the backlog.</t>
        </is>
      </c>
    </row>
    <row r="12" ht="62" customHeight="1">
      <c r="A12" s="7" t="inlineStr">
        <is>
          <t>DQ-07 Geography completeness and validity</t>
        </is>
      </c>
      <c r="B12" s="7" t="inlineStr">
        <is>
          <t>WARN</t>
        </is>
      </c>
      <c r="C12" s="16" t="inlineStr">
        <is>
          <t>How much of the workload cannot be placed geographically?</t>
        </is>
      </c>
      <c r="D12" s="16" t="inlineStr">
        <is>
          <t>0.99% of case records carry no valid council district (1-9); 911 of those are in the active backlog.</t>
        </is>
      </c>
      <c r="E12" s="16" t="inlineStr">
        <is>
          <t>Kept as an explicit '(Unknown)' group in every geographic aggregate so district shares sum to 100% of the backlog rather than to an unstated subset.</t>
        </is>
      </c>
    </row>
    <row r="13" ht="62" customHeight="1">
      <c r="A13" s="7" t="inlineStr">
        <is>
          <t>DQ-08 Service taxonomy stability</t>
        </is>
      </c>
      <c r="B13" s="7" t="inlineStr">
        <is>
          <t>FAIL</t>
        </is>
      </c>
      <c r="C13" s="16" t="inlineStr">
        <is>
          <t>Is the service classification stable enough to compare across years?</t>
        </is>
      </c>
      <c r="D13" s="16" t="inlineStr">
        <is>
          <t>Two problems. First, service_name and case_record_type are many-to-many: 36 service names appear under more than one record type, so record type cannot be treated as a parent of service name. Second, 3 categories moved their share of citywide demand by 2 percentage points or more between Jan-Jul 2025 and Jan-Jul 2026 (Parking - 72-Hours (+12.53pp), Parking Violation (-11.02pp), Graffiti - Public (-2.58pp)). For the Parking pair this is a confirmed relabeling — monthly volumes cross over during autumn 2025 while the parent Parking record type grows only 17.3% — so their year-over-year change measures the label move. The remaining flagged categories are marked not-comparable pending verification; this check does not claim to know why they moved.</t>
        </is>
      </c>
      <c r="E13" s="16" t="inlineStr">
        <is>
          <t>Year-over-year demand is reported citywide and at case_record_type grain, both of which absorb a service-name relabeling. Service-level year-over-year rows carry a taxonomy_flag and flagged rows are excluded from every written finding. Wherever a record type is shown against a service name it is the modal value, computed with MODE() rather than picked arbitrarily.</t>
        </is>
      </c>
    </row>
    <row r="14" ht="62" customHeight="1">
      <c r="A14" s="7" t="inlineStr">
        <is>
          <t>DQ-09 Duplicate parent/child lineage</t>
        </is>
      </c>
      <c r="B14" s="7" t="inlineStr">
        <is>
          <t>WARN</t>
        </is>
      </c>
      <c r="C14" s="16" t="inlineStr">
        <is>
          <t>Do duplicate children resolve to a parent that exists in scope?</t>
        </is>
      </c>
      <c r="D14" s="16" t="inlineStr">
        <is>
          <t>94,687 case records are duplicate children (13.24%). 3,421 (3.61%) point to a parent outside the three extracts in scope — expected, since a parent closed before 2025 is not in scope. 428 children point at another child.</t>
        </is>
      </c>
      <c r="E14" s="16" t="inlineStr">
        <is>
          <t>issue_key = COALESCE(parent_request_id, service_request_id) collapses one level. An orphaned child keeps its parent's id as its issue_key, so it is still not double-counted against a parent that is present.</t>
        </is>
      </c>
    </row>
    <row r="15" ht="62" customHeight="1">
      <c r="A15" s="7" t="inlineStr">
        <is>
          <t>DQ-10 Referral field consistency</t>
        </is>
      </c>
      <c r="B15" s="7" t="inlineStr">
        <is>
          <t>WARN</t>
        </is>
      </c>
      <c r="C15" s="16" t="inlineStr">
        <is>
          <t>Does the referred field agree with the Referred status?</t>
        </is>
      </c>
      <c r="D15" s="16" t="inlineStr">
        <is>
          <t>4,204 records carry referral text but do not have a Referred status, and 53 Referred records carry no text. Destination parsing resolves 43,306 of 43,306 referred records.</t>
        </is>
      </c>
      <c r="E15" s="16" t="inlineStr">
        <is>
          <t>Referral rate is always computed from status, never from the presence of text. The two populations are reported side by side in agg_referral_status_consistency.</t>
        </is>
      </c>
    </row>
    <row r="16" ht="62" customHeight="1">
      <c r="A16" s="7" t="inlineStr">
        <is>
          <t>DQ-11 Age outliers</t>
        </is>
      </c>
      <c r="B16" s="7" t="inlineStr">
        <is>
          <t>INFO</t>
        </is>
      </c>
      <c r="C16" s="16" t="inlineStr">
        <is>
          <t>Are extreme ages real records or artifacts?</t>
        </is>
      </c>
      <c r="D16" s="16" t="inlineStr">
        <is>
          <t>The oldest active request is 3,731 days old. 6,869 active records (8.44%) exceed five years. No negative active ages.</t>
        </is>
      </c>
      <c r="E16" s="16" t="inlineStr">
        <is>
          <t>Not trimmed. These are genuine long-lived open cases, concentrated in asset maintenance categories, and removing them would understate the backlog that is the subject of the analysis. Median and p90 are used throughout so the tail informs the picture without dominating it.</t>
        </is>
      </c>
    </row>
    <row r="17" ht="62" customHeight="1">
      <c r="A17" s="7" t="inlineStr">
        <is>
          <t>DQ-12 Privacy suppression</t>
        </is>
      </c>
      <c r="B17" s="7" t="inlineStr">
        <is>
          <t>PASS</t>
        </is>
      </c>
      <c r="C17" s="16" t="inlineStr">
        <is>
          <t>Have sensitive source fields been kept out of every published output?</t>
        </is>
      </c>
      <c r="D17" s="16" t="inlineStr">
        <is>
          <t>8 source fields are suppressed and 0 reached the fact table.</t>
        </is>
      </c>
      <c r="E17" s="16" t="inlineStr">
        <is>
          <t>Resident free text, exact addresses and coordinates are dropped in 01_clean_base.sql before anything is written to disk. The referral message is normalized to a destination label because the raw text contains staff and vendor email addresses. src/pipeline.py refuses to export if any suppressed field is present.</t>
        </is>
      </c>
    </row>
    <row r="18" ht="62" customHeight="1">
      <c r="A18" s="7" t="inlineStr">
        <is>
          <t>DQ-13 Status and channel domains</t>
        </is>
      </c>
      <c r="B18" s="7" t="inlineStr">
        <is>
          <t>PASS</t>
        </is>
      </c>
      <c r="C18" s="16" t="inlineStr">
        <is>
          <t>Are the categorical domains what the dictionary implies?</t>
        </is>
      </c>
      <c r="D18" s="16" t="inlineStr">
        <is>
          <t>Status takes 4 values with no unexpected members. case_origin takes 27 values, of which 8 are unmapped placeholders (116 records).</t>
        </is>
      </c>
      <c r="E18" s="16" t="inlineStr">
        <is>
          <t>Active is defined as status in (New, In Process); terminal status as (Closed, Referred). Unmapped origins fall into an explicit '(Unknown)' channel group.</t>
        </is>
      </c>
    </row>
    <row r="20">
      <c r="A20" s="5" t="inlineStr">
        <is>
          <t>Totals</t>
        </is>
      </c>
    </row>
    <row r="21">
      <c r="A21" t="inlineStr">
        <is>
          <t>PASS</t>
        </is>
      </c>
      <c r="B21" s="17">
        <f>COUNTIF(tblAudit[Grade],"PASS")</f>
        <v/>
      </c>
    </row>
    <row r="22">
      <c r="A22" t="inlineStr">
        <is>
          <t>WARN</t>
        </is>
      </c>
      <c r="B22" s="17">
        <f>COUNTIF(tblAudit[Grade],"WARN")</f>
        <v/>
      </c>
    </row>
    <row r="23">
      <c r="A23" t="inlineStr">
        <is>
          <t>FAIL</t>
        </is>
      </c>
      <c r="B23" s="17">
        <f>COUNTIF(tblAudit[Grade],"FAIL")</f>
        <v/>
      </c>
    </row>
    <row r="24">
      <c r="A24" t="inlineStr">
        <is>
          <t>INFO</t>
        </is>
      </c>
      <c r="B24" s="17">
        <f>COUNTIF(tblAudit[Grade],"INFO")</f>
        <v/>
      </c>
    </row>
  </sheetData>
  <conditionalFormatting sqref="B6:B18">
    <cfRule type="cellIs" priority="1" operator="equal" dxfId="0">
      <formula>"PASS"</formula>
    </cfRule>
    <cfRule type="cellIs" priority="2" operator="equal" dxfId="3">
      <formula>"WARN"</formula>
    </cfRule>
    <cfRule type="cellIs" priority="3" operator="equal" dxfId="1">
      <formula>"FAIL"</formula>
    </cfRule>
    <cfRule type="cellIs" priority="4" operator="equal" dxfId="4">
      <formula>"INFO"</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2026-08-10T00:18:15Z</dcterms:created>
  <dcterms:modified xsi:type="dcterms:W3CDTF">2026-08-10T00:18:15Z</dcterms:modified>
</cp:coreProperties>
</file>